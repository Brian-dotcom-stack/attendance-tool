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trol Panel" sheetId="1" state="visible" r:id="rId1"/>
    <sheet name="Employee Master" sheetId="2" state="visible" r:id="rId2"/>
    <sheet name="Jan" sheetId="3" state="visible" r:id="rId3"/>
    <sheet name="Feb" sheetId="4" state="visible" r:id="rId4"/>
    <sheet name="Mar" sheetId="5" state="visible" r:id="rId5"/>
    <sheet name="Apr" sheetId="6" state="visible" r:id="rId6"/>
    <sheet name="May" sheetId="7" state="visible" r:id="rId7"/>
    <sheet name="Jun" sheetId="8" state="visible" r:id="rId8"/>
    <sheet name="Jul" sheetId="9" state="visible" r:id="rId9"/>
    <sheet name="Aug" sheetId="10" state="visible" r:id="rId10"/>
    <sheet name="Sep" sheetId="11" state="visible" r:id="rId11"/>
    <sheet name="Oct" sheetId="12" state="visible" r:id="rId12"/>
    <sheet name="Nov" sheetId="13" state="visible" r:id="rId13"/>
    <sheet name="Dec" sheetId="14" state="visible" r:id="rId14"/>
    <sheet name="KPI Live Tracker" sheetId="15" state="visible" r:id="rId15"/>
    <sheet name="Staff Absence Audit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0"/>
    </font>
    <font>
      <name val="Calibri"/>
      <charset val="1"/>
      <family val="2"/>
      <color rgb="FF0000FF"/>
      <sz val="10"/>
    </font>
    <font>
      <name val="Calibri"/>
      <charset val="1"/>
      <family val="2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sz val="9"/>
    </font>
    <font>
      <name val="Calibri"/>
      <charset val="1"/>
      <family val="2"/>
      <b val="1"/>
      <sz val="11"/>
    </font>
  </fonts>
  <fills count="14">
    <fill>
      <patternFill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17365D"/>
        <bgColor rgb="FF333333"/>
      </patternFill>
    </fill>
    <fill>
      <patternFill patternType="solid">
        <fgColor rgb="FFE4DFEC"/>
        <bgColor rgb="FFD9E1F2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4DFEC"/>
      </patternFill>
    </fill>
    <fill>
      <patternFill patternType="solid">
        <fgColor rgb="FFF4CCCC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AF7"/>
      </patternFill>
    </fill>
    <fill>
      <patternFill patternType="solid">
        <fgColor rgb="FFD9D9D9"/>
        <bgColor rgb="FFE4DFEC"/>
      </patternFill>
    </fill>
    <fill>
      <patternFill patternType="solid">
        <fgColor rgb="FFFFFFFF"/>
        <bgColor rgb="FFFFF2CC"/>
      </patternFill>
    </fill>
    <fill>
      <patternFill patternType="solid">
        <fgColor rgb="FFD9EAF7"/>
        <bgColor rgb="FFDDEBF7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9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165" fontId="9" fillId="2" borderId="1" applyAlignment="1" pivotButton="0" quotePrefix="0" xfId="0">
      <alignment horizontal="center" vertical="center" wrapText="1"/>
    </xf>
    <xf numFmtId="165" fontId="8" fillId="12" borderId="1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1" fontId="5" fillId="2" borderId="2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 wrapText="1"/>
    </xf>
    <xf numFmtId="1" fontId="11" fillId="0" borderId="2" applyAlignment="1" pivotButton="0" quotePrefix="0" xfId="0">
      <alignment horizontal="center" vertical="center" wrapText="1"/>
    </xf>
    <xf numFmtId="1" fontId="11" fillId="13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9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5" fontId="9" fillId="2" borderId="1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general" vertical="bottom"/>
    </xf>
    <xf numFmtId="165" fontId="8" fillId="1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1" fontId="5" fillId="2" borderId="2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 wrapText="1"/>
    </xf>
    <xf numFmtId="1" fontId="11" fillId="0" borderId="2" applyAlignment="1" pivotButton="0" quotePrefix="0" xfId="0">
      <alignment horizontal="center" vertical="center" wrapText="1"/>
    </xf>
    <xf numFmtId="1" fontId="11" fillId="13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2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9" fontId="7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alignment horizontal="general" vertical="bottom" readingOrder="1"/>
    </dxf>
    <dxf>
      <alignment horizontal="general" vertical="bottom" readingOrder="1"/>
    </dxf>
    <dxf>
      <alignment horizontal="general" vertical="bottom" readingOrder="1"/>
    </dxf>
    <dxf>
      <alignment horizontal="general" vertical="bottom" readingOrder="1"/>
    </dxf>
    <dxf>
      <alignment horizontal="general" vertical="bottom" readingOrder="1"/>
    </dxf>
    <dxf>
      <alignment horizontal="general" vertical="bottom" readingOrder="1"/>
    </dxf>
    <dxf>
      <alignment horizontal="general" vertical="bottom" readingOrder="1"/>
    </dxf>
    <dxf>
      <alignment horizontal="general" vertical="bottom" readingOrder="1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D9E1F2"/>
      <rgbColor rgb="FFFF99CC"/>
      <rgbColor rgb="FFE4DFEC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2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3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4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5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6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7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8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9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10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11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comments/comment12.xml><?xml version="1.0" encoding="utf-8"?>
<comments xmlns="http://schemas.openxmlformats.org/spreadsheetml/2006/main">
  <authors>
    <author> </author>
  </authors>
  <commentList>
    <comment ref="AQ6" authorId="0" shapeId="0">
      <text>
        <t>Required for AA, UA, SA, EA or OR for forensic traceability.</t>
      </text>
    </comment>
    <comment ref="AR6" authorId="0" shapeId="0">
      <text>
        <t>Record approval, evidence, case reference or escalation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2" activeCellId="0" sqref="F22"/>
    </sheetView>
  </sheetViews>
  <sheetFormatPr baseColWidth="8" defaultRowHeight="14.45" zeroHeight="0" outlineLevelRow="0"/>
  <cols>
    <col width="28.57" customWidth="1" style="56" min="1" max="1"/>
    <col width="14.01" customWidth="1" style="56" min="2" max="2"/>
    <col width="18" customWidth="1" style="56" min="3" max="6"/>
    <col width="3.98" customWidth="1" style="56" min="7" max="7"/>
    <col width="16" customWidth="1" style="56" min="8" max="8"/>
    <col width="38.43" customWidth="1" style="56" min="9" max="9"/>
    <col width="18" customWidth="1" style="56" min="10" max="10"/>
    <col width="8.67" customWidth="1" style="56" min="11" max="1025"/>
  </cols>
  <sheetData>
    <row r="1" ht="36" customHeight="1" s="57">
      <c r="A1" s="58" t="inlineStr">
        <is>
          <t>Yearly Staff Attendance Control Panel</t>
        </is>
      </c>
    </row>
    <row r="2" ht="25.15" customHeight="1" s="57">
      <c r="A2" s="59" t="inlineStr">
        <is>
          <t>Control</t>
        </is>
      </c>
      <c r="B2" s="59" t="inlineStr">
        <is>
          <t>Value</t>
        </is>
      </c>
      <c r="H2" s="59" t="inlineStr">
        <is>
          <t>Status Key</t>
        </is>
      </c>
      <c r="I2" s="59" t="inlineStr">
        <is>
          <t>Meaning</t>
        </is>
      </c>
    </row>
    <row r="3" ht="27" customHeight="1" s="57">
      <c r="A3" s="60" t="inlineStr">
        <is>
          <t>Attendance year</t>
        </is>
      </c>
      <c r="B3" s="61" t="n">
        <v>2026</v>
      </c>
      <c r="H3" s="62" t="inlineStr">
        <is>
          <t>P</t>
        </is>
      </c>
      <c r="I3" s="63" t="inlineStr">
        <is>
          <t>Present</t>
        </is>
      </c>
    </row>
    <row r="4" ht="81" customHeight="1" s="57">
      <c r="A4" s="59" t="inlineStr">
        <is>
          <t>Instructions</t>
        </is>
      </c>
      <c r="B4" s="64" t="inlineStr">
        <is>
          <t>1) Enter employee details in Employee Master.
2) Enter annual holiday dates in column H if you want a holiday calendar reference only.
3) Record daily status codes in Jan-Dec.
4) All calendar days are treated as work days unless an absence status is entered.
5) KPI Live Tracker and Staff Absence Audit update automatically.</t>
        </is>
      </c>
      <c r="C4" s="65" t="n"/>
      <c r="D4" s="65" t="n"/>
      <c r="E4" s="65" t="n"/>
      <c r="F4" s="66" t="n"/>
      <c r="H4" s="67" t="inlineStr">
        <is>
          <t>AA</t>
        </is>
      </c>
      <c r="I4" s="63" t="inlineStr">
        <is>
          <t>Authorised Absence</t>
        </is>
      </c>
    </row>
    <row r="5" ht="18" customHeight="1" s="57">
      <c r="H5" s="68" t="inlineStr">
        <is>
          <t>UA</t>
        </is>
      </c>
      <c r="I5" s="63" t="inlineStr">
        <is>
          <t>Unauthorised Absence</t>
        </is>
      </c>
    </row>
    <row r="6" ht="28.15" customHeight="1" s="57">
      <c r="A6" s="69" t="inlineStr">
        <is>
          <t>Active Employees</t>
        </is>
      </c>
      <c r="B6" s="70">
        <f>COUNTIFS('Employee Master'!A8:A107,"?*",'Employee Master'!D8:D107,"Active")</f>
        <v/>
      </c>
      <c r="H6" s="71" t="inlineStr">
        <is>
          <t>SA</t>
        </is>
      </c>
      <c r="I6" s="63" t="inlineStr">
        <is>
          <t>Sickness Absence</t>
        </is>
      </c>
    </row>
    <row r="7" ht="31.9" customHeight="1" s="57">
      <c r="A7" s="69" t="inlineStr">
        <is>
          <t>Annual Calendar Work Days</t>
        </is>
      </c>
      <c r="B7" s="70">
        <f>SUM('KPI Live Tracker'!B19:B30)</f>
        <v/>
      </c>
      <c r="H7" s="72" t="inlineStr">
        <is>
          <t>EA</t>
        </is>
      </c>
      <c r="I7" s="63" t="inlineStr">
        <is>
          <t>Emergency Absence</t>
        </is>
      </c>
    </row>
    <row r="8" ht="18" customHeight="1" s="57">
      <c r="H8" s="73" t="inlineStr">
        <is>
          <t>OR</t>
        </is>
      </c>
      <c r="I8" s="63" t="inlineStr">
        <is>
          <t>Other Reason</t>
        </is>
      </c>
    </row>
    <row r="9" ht="18" customHeight="1" s="57">
      <c r="H9" s="74" t="inlineStr">
        <is>
          <t>WO</t>
        </is>
      </c>
      <c r="I9" s="63" t="inlineStr">
        <is>
          <t>Weekend Off / Approved Rest Day</t>
        </is>
      </c>
    </row>
    <row r="10" ht="18" customHeight="1" s="57">
      <c r="H10" s="75" t="inlineStr">
        <is>
          <t>H</t>
        </is>
      </c>
      <c r="I10" s="63" t="inlineStr">
        <is>
          <t>Holiday / Approved Leave</t>
        </is>
      </c>
    </row>
    <row r="11" ht="18" customHeight="1" s="57"/>
    <row r="12" ht="18" customHeight="1" s="57">
      <c r="H12" s="59" t="inlineStr">
        <is>
          <t>Holiday Date</t>
        </is>
      </c>
      <c r="I12" s="59" t="inlineStr">
        <is>
          <t>Holiday Name / Note</t>
        </is>
      </c>
    </row>
    <row r="13" ht="18" customHeight="1" s="57">
      <c r="H13" s="76" t="n"/>
      <c r="I13" s="77" t="n"/>
    </row>
    <row r="14" ht="18" customHeight="1" s="57">
      <c r="H14" s="76" t="n"/>
      <c r="I14" s="77" t="n"/>
    </row>
    <row r="15" ht="18" customHeight="1" s="57">
      <c r="H15" s="76" t="n"/>
      <c r="I15" s="77" t="n"/>
    </row>
    <row r="16" ht="18" customHeight="1" s="57">
      <c r="H16" s="76" t="n"/>
      <c r="I16" s="77" t="n"/>
    </row>
    <row r="17" ht="18" customHeight="1" s="57">
      <c r="H17" s="76" t="n"/>
      <c r="I17" s="77" t="n"/>
    </row>
    <row r="18" ht="18" customHeight="1" s="57">
      <c r="H18" s="76" t="n"/>
      <c r="I18" s="77" t="n"/>
    </row>
    <row r="19" ht="18" customHeight="1" s="57">
      <c r="H19" s="76" t="n"/>
      <c r="I19" s="77" t="n"/>
    </row>
    <row r="20" ht="18" customHeight="1" s="57">
      <c r="H20" s="76" t="n"/>
      <c r="I20" s="77" t="n"/>
    </row>
    <row r="21" ht="18" customHeight="1" s="57">
      <c r="H21" s="76" t="n"/>
      <c r="I21" s="77" t="n"/>
    </row>
    <row r="22" ht="18" customHeight="1" s="57">
      <c r="H22" s="76" t="n"/>
      <c r="I22" s="77" t="n"/>
    </row>
    <row r="23" ht="18" customHeight="1" s="57">
      <c r="H23" s="76" t="n"/>
      <c r="I23" s="77" t="n"/>
    </row>
    <row r="24" ht="18" customHeight="1" s="57">
      <c r="H24" s="76" t="n"/>
      <c r="I24" s="77" t="n"/>
    </row>
    <row r="25" ht="18" customHeight="1" s="57">
      <c r="H25" s="76" t="n"/>
      <c r="I25" s="77" t="n"/>
    </row>
    <row r="26" ht="18" customHeight="1" s="57">
      <c r="H26" s="76" t="n"/>
      <c r="I26" s="77" t="n"/>
    </row>
    <row r="27" ht="18" customHeight="1" s="57">
      <c r="H27" s="76" t="n"/>
      <c r="I27" s="77" t="n"/>
    </row>
    <row r="28" ht="18" customHeight="1" s="57">
      <c r="H28" s="76" t="n"/>
      <c r="I28" s="77" t="n"/>
    </row>
    <row r="29" ht="18" customHeight="1" s="57">
      <c r="H29" s="76" t="n"/>
      <c r="I29" s="77" t="n"/>
    </row>
    <row r="30" ht="18" customHeight="1" s="57">
      <c r="H30" s="76" t="n"/>
      <c r="I30" s="77" t="n"/>
    </row>
    <row r="31" ht="18" customHeight="1" s="57">
      <c r="H31" s="76" t="n"/>
      <c r="I31" s="77" t="n"/>
    </row>
    <row r="32" ht="18" customHeight="1" s="57">
      <c r="H32" s="76" t="n"/>
      <c r="I32" s="77" t="n"/>
    </row>
    <row r="33" ht="18" customHeight="1" s="57">
      <c r="H33" s="76" t="n"/>
      <c r="I33" s="77" t="n"/>
    </row>
    <row r="34" ht="18" customHeight="1" s="57">
      <c r="H34" s="76" t="n"/>
      <c r="I34" s="77" t="n"/>
    </row>
    <row r="35" ht="18" customHeight="1" s="57">
      <c r="H35" s="76" t="n"/>
      <c r="I35" s="77" t="n"/>
    </row>
    <row r="36" ht="18" customHeight="1" s="57">
      <c r="H36" s="76" t="n"/>
      <c r="I36" s="77" t="n"/>
    </row>
    <row r="37" ht="18" customHeight="1" s="57">
      <c r="H37" s="76" t="n"/>
      <c r="I37" s="77" t="n"/>
    </row>
    <row r="38" ht="18" customHeight="1" s="57">
      <c r="H38" s="76" t="n"/>
      <c r="I38" s="77" t="n"/>
    </row>
    <row r="39" ht="18" customHeight="1" s="57">
      <c r="H39" s="76" t="n"/>
      <c r="I39" s="77" t="n"/>
    </row>
    <row r="40" ht="18" customHeight="1" s="57">
      <c r="H40" s="76" t="n"/>
      <c r="I40" s="7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Zg9SAV2jnhfzKVZmgW2Rvw==" formatRows="1" sort="1" spinCount="100000" hashValue="F/oPI3ComXBgHmyGZhCbGAXTOKxA2RasIubnWYMvEZsGXLvAQHOwzL409ToOnCKcPF57VUH5A602rf4Cj1YTQg=="/>
  <mergeCells count="2">
    <mergeCell ref="B4:F4"/>
    <mergeCell ref="A1:J1"/>
  </mergeCells>
  <dataValidations count="1">
    <dataValidation sqref="B3" showDropDown="0" showInputMessage="0" showErrorMessage="0" allowBlank="0" type="whole" operator="between">
      <formula1>2000</formula1>
      <formula2>2099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6" activeCellId="0" sqref="A6"/>
    </sheetView>
  </sheetViews>
  <sheetFormatPr baseColWidth="8" defaultRowHeight="14.45" zeroHeight="0" outlineLevelRow="0"/>
  <cols>
    <col width="34.71" customWidth="1" style="56" min="1" max="1"/>
    <col width="26" customWidth="1" style="56" min="2" max="2"/>
    <col width="22.01" customWidth="1" style="56" min="3" max="3"/>
    <col width="16" customWidth="1" style="78" min="4" max="4"/>
    <col width="58.41" customWidth="1" style="56" min="5" max="5"/>
    <col width="8.67" customWidth="1" style="56" min="6" max="1025"/>
  </cols>
  <sheetData>
    <row r="1" ht="29.45" customHeight="1" s="57">
      <c r="A1" s="58" t="inlineStr">
        <is>
          <t>Employee Master Register</t>
        </is>
      </c>
    </row>
    <row r="2" ht="18" customHeight="1" s="57"/>
    <row r="3" ht="36" customHeight="1" s="57">
      <c r="A3" s="64" t="inlineStr">
        <is>
          <t>Enter employee details once here. Jan-Dec sheets synchronise automatically.</t>
        </is>
      </c>
      <c r="B3" s="65" t="n"/>
      <c r="C3" s="65" t="n"/>
      <c r="D3" s="65" t="n"/>
      <c r="E3" s="66" t="n"/>
    </row>
    <row r="4" ht="18" customHeight="1" s="57"/>
    <row r="5" ht="18" customHeight="1" s="57"/>
    <row r="6" ht="18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 t="inlineStr">
        <is>
          <t>Status</t>
        </is>
      </c>
      <c r="E6" s="79" t="inlineStr">
        <is>
          <t>Notes</t>
        </is>
      </c>
    </row>
    <row r="7" ht="18" customHeight="1" s="57"/>
    <row r="8" ht="18" customHeight="1" s="57">
      <c r="A8" s="80" t="inlineStr">
        <is>
          <t>Abiodun Oguntula</t>
        </is>
      </c>
      <c r="B8" s="77" t="inlineStr">
        <is>
          <t>Abiodun Oguntula</t>
        </is>
      </c>
      <c r="C8" s="80" t="inlineStr">
        <is>
          <t>HR Manager</t>
        </is>
      </c>
      <c r="D8" s="81" t="inlineStr">
        <is>
          <t>Active</t>
        </is>
      </c>
      <c r="E8" s="82" t="n"/>
    </row>
    <row r="9" ht="18" customHeight="1" s="57">
      <c r="A9" s="80" t="inlineStr">
        <is>
          <t>Adesoji	Aderemi	 Adeboye</t>
        </is>
      </c>
      <c r="B9" s="77" t="inlineStr">
        <is>
          <t>Adesoji	Aderemi	 Adeboye</t>
        </is>
      </c>
      <c r="C9" s="80" t="inlineStr">
        <is>
          <t>HR Manager</t>
        </is>
      </c>
      <c r="D9" s="81" t="inlineStr">
        <is>
          <t>Active</t>
        </is>
      </c>
      <c r="E9" s="82" t="n"/>
    </row>
    <row r="10" ht="18" customHeight="1" s="57">
      <c r="A10" s="80" t="inlineStr">
        <is>
          <t>Ajoke Idowu	 Olatunde</t>
        </is>
      </c>
      <c r="B10" s="77" t="inlineStr">
        <is>
          <t>Ajoke Idowu	 Olatunde</t>
        </is>
      </c>
      <c r="C10" s="80" t="inlineStr">
        <is>
          <t>HR Manager</t>
        </is>
      </c>
      <c r="D10" s="81" t="inlineStr">
        <is>
          <t>Active</t>
        </is>
      </c>
      <c r="E10" s="82" t="n"/>
    </row>
    <row r="11" ht="18" customHeight="1" s="57">
      <c r="A11" s="80" t="inlineStr">
        <is>
          <t>Akash Amin</t>
        </is>
      </c>
      <c r="B11" s="77" t="inlineStr">
        <is>
          <t>Akash Amin</t>
        </is>
      </c>
      <c r="C11" s="80" t="inlineStr">
        <is>
          <t>HR Manager</t>
        </is>
      </c>
      <c r="D11" s="81" t="inlineStr">
        <is>
          <t>Active</t>
        </is>
      </c>
      <c r="E11" s="82" t="n"/>
    </row>
    <row r="12" ht="18" customHeight="1" s="57">
      <c r="A12" s="80" t="inlineStr">
        <is>
          <t>Amrit Singh</t>
        </is>
      </c>
      <c r="B12" s="77" t="inlineStr">
        <is>
          <t>Amrit Singh</t>
        </is>
      </c>
      <c r="C12" s="80" t="inlineStr">
        <is>
          <t>HR Manager</t>
        </is>
      </c>
      <c r="D12" s="81" t="inlineStr">
        <is>
          <t>Active</t>
        </is>
      </c>
      <c r="E12" s="82" t="n"/>
    </row>
    <row r="13" ht="18" customHeight="1" s="57">
      <c r="A13" s="80" t="inlineStr">
        <is>
          <t>Anthonia Ekenedilichukwu</t>
        </is>
      </c>
      <c r="B13" s="77" t="inlineStr">
        <is>
          <t>Anthonia Ekenedilichukwu</t>
        </is>
      </c>
      <c r="C13" s="80" t="inlineStr">
        <is>
          <t>HR Manager</t>
        </is>
      </c>
      <c r="D13" s="81" t="inlineStr">
        <is>
          <t>Active</t>
        </is>
      </c>
      <c r="E13" s="82" t="n"/>
    </row>
    <row r="14" ht="18" customHeight="1" s="57">
      <c r="A14" s="80" t="inlineStr">
        <is>
          <t>Bankole Funmilayo</t>
        </is>
      </c>
      <c r="B14" s="77" t="inlineStr">
        <is>
          <t>Bankole Funmilayo</t>
        </is>
      </c>
      <c r="C14" s="80" t="inlineStr">
        <is>
          <t>HR Manager</t>
        </is>
      </c>
      <c r="D14" s="81" t="inlineStr">
        <is>
          <t>Active</t>
        </is>
      </c>
      <c r="E14" s="82" t="n"/>
    </row>
    <row r="15" ht="18" customHeight="1" s="57">
      <c r="A15" s="80" t="inlineStr">
        <is>
          <t>Bekezela Mguni</t>
        </is>
      </c>
      <c r="B15" s="77" t="inlineStr">
        <is>
          <t>Bekezela Mguni</t>
        </is>
      </c>
      <c r="C15" s="80" t="inlineStr">
        <is>
          <t>HR Manager</t>
        </is>
      </c>
      <c r="D15" s="81" t="inlineStr">
        <is>
          <t>Active</t>
        </is>
      </c>
      <c r="E15" s="82" t="n"/>
    </row>
    <row r="16" ht="18" customHeight="1" s="57">
      <c r="A16" s="80" t="inlineStr">
        <is>
          <t>Bukola Gbadamosi</t>
        </is>
      </c>
      <c r="B16" s="77" t="inlineStr">
        <is>
          <t>Bukola Gbadamosi</t>
        </is>
      </c>
      <c r="C16" s="80" t="inlineStr">
        <is>
          <t>HR Manager</t>
        </is>
      </c>
      <c r="D16" s="81" t="inlineStr">
        <is>
          <t>Active</t>
        </is>
      </c>
      <c r="E16" s="82" t="n"/>
    </row>
    <row r="17" ht="18" customHeight="1" s="57">
      <c r="A17" s="80" t="inlineStr">
        <is>
          <t>Chinua Ibe-Ani</t>
        </is>
      </c>
      <c r="B17" s="77" t="inlineStr">
        <is>
          <t>Chinua Ibe-Ani</t>
        </is>
      </c>
      <c r="C17" s="80" t="inlineStr">
        <is>
          <t>HR Manager</t>
        </is>
      </c>
      <c r="D17" s="81" t="inlineStr">
        <is>
          <t>Active</t>
        </is>
      </c>
      <c r="E17" s="82" t="n"/>
    </row>
    <row r="18" ht="18" customHeight="1" s="57">
      <c r="A18" s="80" t="inlineStr">
        <is>
          <t>Deborah Awotedu</t>
        </is>
      </c>
      <c r="B18" s="77" t="inlineStr">
        <is>
          <t>Deborah Awotedu</t>
        </is>
      </c>
      <c r="C18" s="80" t="inlineStr">
        <is>
          <t>HR Manager</t>
        </is>
      </c>
      <c r="D18" s="81" t="inlineStr">
        <is>
          <t>Active</t>
        </is>
      </c>
      <c r="E18" s="82" t="n"/>
    </row>
    <row r="19" ht="18" customHeight="1" s="57">
      <c r="A19" s="80" t="inlineStr">
        <is>
          <t>Deborah Awuyuse</t>
        </is>
      </c>
      <c r="B19" s="77" t="inlineStr">
        <is>
          <t>Deborah Awuyuse</t>
        </is>
      </c>
      <c r="C19" s="80" t="inlineStr">
        <is>
          <t>HR Manager</t>
        </is>
      </c>
      <c r="D19" s="81" t="inlineStr">
        <is>
          <t>Active</t>
        </is>
      </c>
      <c r="E19" s="82" t="n"/>
    </row>
    <row r="20" ht="30.6" customHeight="1" s="57">
      <c r="A20" s="80" t="inlineStr">
        <is>
          <t>Emmanuel Isioma Eluma</t>
        </is>
      </c>
      <c r="B20" s="77" t="inlineStr">
        <is>
          <t>Emmanuel Isioma Eluma</t>
        </is>
      </c>
      <c r="C20" s="80" t="inlineStr">
        <is>
          <t>HR Manager</t>
        </is>
      </c>
      <c r="D20" s="81" t="inlineStr">
        <is>
          <t>Active</t>
        </is>
      </c>
      <c r="E20" s="82" t="n"/>
    </row>
    <row r="21" ht="18" customHeight="1" s="57">
      <c r="A21" s="80" t="inlineStr">
        <is>
          <t>Endurance Iziegbe Osarumwense</t>
        </is>
      </c>
      <c r="B21" s="77" t="inlineStr">
        <is>
          <t>Endurance Iziegbe Osarumwense</t>
        </is>
      </c>
      <c r="C21" s="80" t="inlineStr">
        <is>
          <t>HR Manager</t>
        </is>
      </c>
      <c r="D21" s="81" t="inlineStr">
        <is>
          <t>Active</t>
        </is>
      </c>
      <c r="E21" s="82" t="n"/>
    </row>
    <row r="22" ht="18" customHeight="1" s="57">
      <c r="A22" s="80" t="inlineStr">
        <is>
          <t>Faith Okwudifele</t>
        </is>
      </c>
      <c r="B22" s="77" t="inlineStr">
        <is>
          <t>Faith Okwudifele</t>
        </is>
      </c>
      <c r="C22" s="80" t="inlineStr">
        <is>
          <t>HR Manager</t>
        </is>
      </c>
      <c r="D22" s="81" t="inlineStr">
        <is>
          <t>Active</t>
        </is>
      </c>
      <c r="E22" s="82" t="n"/>
    </row>
    <row r="23" ht="18" customHeight="1" s="57">
      <c r="A23" s="80" t="inlineStr">
        <is>
          <t>Farkhanda Kanwal</t>
        </is>
      </c>
      <c r="B23" s="77" t="inlineStr">
        <is>
          <t>Farkhanda Kanwal</t>
        </is>
      </c>
      <c r="C23" s="80" t="inlineStr">
        <is>
          <t>HR Manager</t>
        </is>
      </c>
      <c r="D23" s="81" t="inlineStr">
        <is>
          <t>Active</t>
        </is>
      </c>
      <c r="E23" s="82" t="n"/>
    </row>
    <row r="24" ht="18" customHeight="1" s="57">
      <c r="A24" s="80" t="inlineStr">
        <is>
          <t>Felix Olufemi  Alade</t>
        </is>
      </c>
      <c r="B24" s="77" t="inlineStr">
        <is>
          <t>Felix Olufemi  Alade</t>
        </is>
      </c>
      <c r="C24" s="80" t="inlineStr">
        <is>
          <t>HR Manager</t>
        </is>
      </c>
      <c r="D24" s="81" t="inlineStr">
        <is>
          <t>Active</t>
        </is>
      </c>
      <c r="E24" s="82" t="n"/>
    </row>
    <row r="25" ht="18" customHeight="1" s="57">
      <c r="A25" s="80" t="inlineStr">
        <is>
          <t>Fredrick Abbey</t>
        </is>
      </c>
      <c r="B25" s="77" t="inlineStr">
        <is>
          <t>Fredrick Abbey</t>
        </is>
      </c>
      <c r="C25" s="80" t="inlineStr">
        <is>
          <t>HR Manager</t>
        </is>
      </c>
      <c r="D25" s="81" t="inlineStr">
        <is>
          <t>Active</t>
        </is>
      </c>
      <c r="E25" s="82" t="n"/>
    </row>
    <row r="26" ht="18" customHeight="1" s="57">
      <c r="A26" s="80" t="inlineStr">
        <is>
          <t>Glory Okononfua</t>
        </is>
      </c>
      <c r="B26" s="77" t="inlineStr">
        <is>
          <t>Glory Okononfua</t>
        </is>
      </c>
      <c r="C26" s="80" t="inlineStr">
        <is>
          <t>HR Manager</t>
        </is>
      </c>
      <c r="D26" s="81" t="inlineStr">
        <is>
          <t>Active</t>
        </is>
      </c>
      <c r="E26" s="82" t="n"/>
    </row>
    <row r="27" ht="18" customHeight="1" s="57">
      <c r="A27" s="80" t="inlineStr">
        <is>
          <t>Gulam Nabi</t>
        </is>
      </c>
      <c r="B27" s="77" t="inlineStr">
        <is>
          <t>Gulam Nabi</t>
        </is>
      </c>
      <c r="C27" s="80" t="inlineStr">
        <is>
          <t>HR Manager</t>
        </is>
      </c>
      <c r="D27" s="81" t="inlineStr">
        <is>
          <t>Active</t>
        </is>
      </c>
      <c r="E27" s="82" t="n"/>
    </row>
    <row r="28" ht="18" customHeight="1" s="57">
      <c r="A28" s="80" t="inlineStr">
        <is>
          <t>Gurjinder Kaur</t>
        </is>
      </c>
      <c r="B28" s="77" t="inlineStr">
        <is>
          <t>Gurjinder Kaur</t>
        </is>
      </c>
      <c r="C28" s="80" t="inlineStr">
        <is>
          <t>HR Manager</t>
        </is>
      </c>
      <c r="D28" s="81" t="inlineStr">
        <is>
          <t>Active</t>
        </is>
      </c>
      <c r="E28" s="82" t="n"/>
    </row>
    <row r="29" ht="18" customHeight="1" s="57">
      <c r="A29" s="80" t="inlineStr">
        <is>
          <t>Jemima Conduah</t>
        </is>
      </c>
      <c r="B29" s="77" t="inlineStr">
        <is>
          <t>Jemima Conduah</t>
        </is>
      </c>
      <c r="C29" s="80" t="inlineStr">
        <is>
          <t>HR Manager</t>
        </is>
      </c>
      <c r="D29" s="81" t="inlineStr">
        <is>
          <t>Active</t>
        </is>
      </c>
      <c r="E29" s="82" t="n"/>
    </row>
    <row r="30" ht="18" customHeight="1" s="57">
      <c r="A30" s="80" t="inlineStr">
        <is>
          <t>Jeremiah Wambua</t>
        </is>
      </c>
      <c r="B30" s="77" t="inlineStr">
        <is>
          <t>Jeremiah Wambua</t>
        </is>
      </c>
      <c r="C30" s="80" t="inlineStr">
        <is>
          <t>HR Manager</t>
        </is>
      </c>
      <c r="D30" s="81" t="inlineStr">
        <is>
          <t>Active</t>
        </is>
      </c>
      <c r="E30" s="82" t="n"/>
    </row>
    <row r="31" ht="18" customHeight="1" s="57">
      <c r="A31" s="80" t="inlineStr">
        <is>
          <t>Joram Mutuku</t>
        </is>
      </c>
      <c r="B31" s="77" t="inlineStr">
        <is>
          <t>Joram Mutuku</t>
        </is>
      </c>
      <c r="C31" s="80" t="inlineStr">
        <is>
          <t>HR Manager</t>
        </is>
      </c>
      <c r="D31" s="81" t="inlineStr">
        <is>
          <t>Active</t>
        </is>
      </c>
      <c r="E31" s="82" t="n"/>
    </row>
    <row r="32" ht="18" customHeight="1" s="57">
      <c r="A32" s="80" t="inlineStr">
        <is>
          <t>Joy Gbadegesin</t>
        </is>
      </c>
      <c r="B32" s="77" t="inlineStr">
        <is>
          <t>Joy Gbadegesin</t>
        </is>
      </c>
      <c r="C32" s="80" t="inlineStr">
        <is>
          <t>HR Manager</t>
        </is>
      </c>
      <c r="D32" s="81" t="inlineStr">
        <is>
          <t>Active</t>
        </is>
      </c>
      <c r="E32" s="82" t="n"/>
    </row>
    <row r="33" ht="18" customHeight="1" s="57">
      <c r="A33" s="80" t="inlineStr">
        <is>
          <t>Judith Mwololo</t>
        </is>
      </c>
      <c r="B33" s="77" t="inlineStr">
        <is>
          <t>Judith Mwololo</t>
        </is>
      </c>
      <c r="C33" s="80" t="inlineStr">
        <is>
          <t>HR Manager</t>
        </is>
      </c>
      <c r="D33" s="81" t="inlineStr">
        <is>
          <t>Active</t>
        </is>
      </c>
      <c r="E33" s="82" t="n"/>
    </row>
    <row r="34" ht="18" customHeight="1" s="57">
      <c r="A34" s="80" t="inlineStr">
        <is>
          <t>Judith Ogbeide</t>
        </is>
      </c>
      <c r="B34" s="77" t="inlineStr">
        <is>
          <t>Judith Ogbeide</t>
        </is>
      </c>
      <c r="C34" s="80" t="inlineStr">
        <is>
          <t>HR Manager</t>
        </is>
      </c>
      <c r="D34" s="81" t="inlineStr">
        <is>
          <t>Active</t>
        </is>
      </c>
      <c r="E34" s="82" t="n"/>
    </row>
    <row r="35" ht="18" customHeight="1" s="57">
      <c r="A35" s="80" t="inlineStr">
        <is>
          <t>Judy Kingathia</t>
        </is>
      </c>
      <c r="B35" s="77" t="inlineStr">
        <is>
          <t>Judy Kingathia</t>
        </is>
      </c>
      <c r="C35" s="80" t="inlineStr">
        <is>
          <t>HR Manager</t>
        </is>
      </c>
      <c r="D35" s="81" t="inlineStr">
        <is>
          <t>Active</t>
        </is>
      </c>
      <c r="E35" s="82" t="n"/>
    </row>
    <row r="36" ht="18" customHeight="1" s="57">
      <c r="A36" s="80" t="inlineStr">
        <is>
          <t>Krutika Patel</t>
        </is>
      </c>
      <c r="B36" s="77" t="inlineStr">
        <is>
          <t>Krutika Patel</t>
        </is>
      </c>
      <c r="C36" s="80" t="inlineStr">
        <is>
          <t>HR Manager</t>
        </is>
      </c>
      <c r="D36" s="81" t="inlineStr">
        <is>
          <t>Active</t>
        </is>
      </c>
      <c r="E36" s="82" t="n"/>
    </row>
    <row r="37" ht="18" customHeight="1" s="57">
      <c r="A37" s="80" t="inlineStr">
        <is>
          <t>Kuljeet Kaur</t>
        </is>
      </c>
      <c r="B37" s="77" t="inlineStr">
        <is>
          <t>Kuljeet Kaur</t>
        </is>
      </c>
      <c r="C37" s="80" t="inlineStr">
        <is>
          <t>HR Manager</t>
        </is>
      </c>
      <c r="D37" s="81" t="inlineStr">
        <is>
          <t>Active</t>
        </is>
      </c>
      <c r="E37" s="82" t="n"/>
    </row>
    <row r="38" ht="18" customHeight="1" s="57">
      <c r="A38" s="80" t="inlineStr">
        <is>
          <t>Michael Adu-Yeboah</t>
        </is>
      </c>
      <c r="B38" s="77" t="inlineStr">
        <is>
          <t>Michael Adu-Yeboah</t>
        </is>
      </c>
      <c r="C38" s="80" t="inlineStr">
        <is>
          <t>HR Manager</t>
        </is>
      </c>
      <c r="D38" s="81" t="inlineStr">
        <is>
          <t>Active</t>
        </is>
      </c>
      <c r="E38" s="82" t="n"/>
    </row>
    <row r="39" ht="18" customHeight="1" s="57">
      <c r="A39" s="80" t="inlineStr">
        <is>
          <t>Modupe		 Aderakinyo</t>
        </is>
      </c>
      <c r="B39" s="77" t="inlineStr">
        <is>
          <t>Modupe		 Aderakinyo</t>
        </is>
      </c>
      <c r="C39" s="80" t="inlineStr">
        <is>
          <t>HR Manager</t>
        </is>
      </c>
      <c r="D39" s="81" t="inlineStr">
        <is>
          <t>Active</t>
        </is>
      </c>
      <c r="E39" s="82" t="n"/>
    </row>
    <row r="40" ht="18" customHeight="1" s="57">
      <c r="A40" s="80" t="inlineStr">
        <is>
          <t>Muhammad Imtiaz</t>
        </is>
      </c>
      <c r="B40" s="77" t="inlineStr">
        <is>
          <t>Muhammad Imtiaz</t>
        </is>
      </c>
      <c r="C40" s="80" t="inlineStr">
        <is>
          <t>HR Manager</t>
        </is>
      </c>
      <c r="D40" s="81" t="inlineStr">
        <is>
          <t>Active</t>
        </is>
      </c>
      <c r="E40" s="82" t="n"/>
    </row>
    <row r="41" ht="18" customHeight="1" s="57">
      <c r="A41" s="80" t="inlineStr">
        <is>
          <t>Munirat Modupe	 Isa</t>
        </is>
      </c>
      <c r="B41" s="77" t="inlineStr">
        <is>
          <t>Munirat Modupe	 Isa</t>
        </is>
      </c>
      <c r="C41" s="80" t="inlineStr">
        <is>
          <t>HR Manager</t>
        </is>
      </c>
      <c r="D41" s="81" t="inlineStr">
        <is>
          <t>Active</t>
        </is>
      </c>
      <c r="E41" s="82" t="n"/>
    </row>
    <row r="42" ht="18" customHeight="1" s="57">
      <c r="A42" s="80" t="inlineStr">
        <is>
          <t>Naomi Omoraka</t>
        </is>
      </c>
      <c r="B42" s="77" t="inlineStr">
        <is>
          <t>Naomi Omoraka</t>
        </is>
      </c>
      <c r="C42" s="80" t="inlineStr">
        <is>
          <t>HR Manager</t>
        </is>
      </c>
      <c r="D42" s="81" t="inlineStr">
        <is>
          <t>Active</t>
        </is>
      </c>
      <c r="E42" s="82" t="n"/>
    </row>
    <row r="43" ht="18" customHeight="1" s="57">
      <c r="A43" s="80" t="inlineStr">
        <is>
          <t>Navjot Kaur</t>
        </is>
      </c>
      <c r="B43" s="77" t="inlineStr">
        <is>
          <t>Navjot Kaur</t>
        </is>
      </c>
      <c r="C43" s="80" t="inlineStr">
        <is>
          <t>HR Manager</t>
        </is>
      </c>
      <c r="D43" s="81" t="inlineStr">
        <is>
          <t>Active</t>
        </is>
      </c>
      <c r="E43" s="82" t="n"/>
    </row>
    <row r="44" ht="18" customHeight="1" s="57">
      <c r="A44" s="80" t="inlineStr">
        <is>
          <t>Nazish Bibi</t>
        </is>
      </c>
      <c r="B44" s="77" t="inlineStr">
        <is>
          <t>Nazish Bibi</t>
        </is>
      </c>
      <c r="C44" s="80" t="inlineStr">
        <is>
          <t>HR Manager</t>
        </is>
      </c>
      <c r="D44" s="81" t="inlineStr">
        <is>
          <t>Active</t>
        </is>
      </c>
      <c r="E44" s="82" t="n"/>
    </row>
    <row r="45" ht="18" customHeight="1" s="57">
      <c r="A45" s="80" t="inlineStr">
        <is>
          <t>Nikita Uppal</t>
        </is>
      </c>
      <c r="B45" s="77" t="inlineStr">
        <is>
          <t>Nikita Uppal</t>
        </is>
      </c>
      <c r="C45" s="80" t="inlineStr">
        <is>
          <t>HR Manager</t>
        </is>
      </c>
      <c r="D45" s="81" t="inlineStr">
        <is>
          <t>Active</t>
        </is>
      </c>
      <c r="E45" s="82" t="n"/>
    </row>
    <row r="46" ht="18" customHeight="1" s="57">
      <c r="A46" s="80" t="inlineStr">
        <is>
          <t>Nileshkumar Rabari</t>
        </is>
      </c>
      <c r="B46" s="77" t="inlineStr">
        <is>
          <t>Nileshkumar Rabari</t>
        </is>
      </c>
      <c r="C46" s="80" t="inlineStr">
        <is>
          <t>HR Manager</t>
        </is>
      </c>
      <c r="D46" s="81" t="inlineStr">
        <is>
          <t>Active</t>
        </is>
      </c>
      <c r="E46" s="82" t="n"/>
    </row>
    <row r="47" ht="18" customHeight="1" s="57">
      <c r="A47" s="80" t="inlineStr">
        <is>
          <t>Nkechiyere Favour  Chukwuma</t>
        </is>
      </c>
      <c r="B47" s="77" t="inlineStr">
        <is>
          <t>Nkechiyere Favour  Chukwuma</t>
        </is>
      </c>
      <c r="C47" s="80" t="inlineStr">
        <is>
          <t>HR Manager</t>
        </is>
      </c>
      <c r="D47" s="81" t="inlineStr">
        <is>
          <t>Active</t>
        </is>
      </c>
      <c r="E47" s="82" t="n"/>
    </row>
    <row r="48" ht="18" customHeight="1" s="57">
      <c r="A48" s="80" t="inlineStr">
        <is>
          <t>Noureen Nissa</t>
        </is>
      </c>
      <c r="B48" s="77" t="inlineStr">
        <is>
          <t>Noureen Nissa</t>
        </is>
      </c>
      <c r="C48" s="80" t="inlineStr">
        <is>
          <t>HR Manager</t>
        </is>
      </c>
      <c r="D48" s="81" t="inlineStr">
        <is>
          <t>Active</t>
        </is>
      </c>
      <c r="E48" s="82" t="n"/>
    </row>
    <row r="49" ht="18" customHeight="1" s="57">
      <c r="A49" s="80" t="inlineStr">
        <is>
          <t>Oluwafemi Ben Abegunrin</t>
        </is>
      </c>
      <c r="B49" s="77" t="inlineStr">
        <is>
          <t>Oluwafemi Ben Abegunrin</t>
        </is>
      </c>
      <c r="C49" s="80" t="inlineStr">
        <is>
          <t>HR Manager</t>
        </is>
      </c>
      <c r="D49" s="81" t="inlineStr">
        <is>
          <t>Active</t>
        </is>
      </c>
      <c r="E49" s="82" t="n"/>
    </row>
    <row r="50" ht="18" customHeight="1" s="57">
      <c r="A50" s="80" t="inlineStr">
        <is>
          <t>Oluwasore Oyelola	 Idowu</t>
        </is>
      </c>
      <c r="B50" s="77" t="inlineStr">
        <is>
          <t>Oluwasore Oyelola	 Idowu</t>
        </is>
      </c>
      <c r="C50" s="80" t="inlineStr">
        <is>
          <t>HR Manager</t>
        </is>
      </c>
      <c r="D50" s="81" t="inlineStr">
        <is>
          <t>Active</t>
        </is>
      </c>
      <c r="E50" s="82" t="n"/>
    </row>
    <row r="51" ht="18" customHeight="1" s="57">
      <c r="A51" s="80" t="inlineStr">
        <is>
          <t>Oluwatofunmi Adenuga</t>
        </is>
      </c>
      <c r="B51" s="77" t="inlineStr">
        <is>
          <t>Oluwatofunmi Adenuga</t>
        </is>
      </c>
      <c r="C51" s="80" t="inlineStr">
        <is>
          <t>HR Manager</t>
        </is>
      </c>
      <c r="D51" s="81" t="inlineStr">
        <is>
          <t>Active</t>
        </is>
      </c>
      <c r="E51" s="82" t="n"/>
    </row>
    <row r="52" ht="18" customHeight="1" s="57">
      <c r="A52" s="80" t="inlineStr">
        <is>
          <t>Prabhjot Prabhjot</t>
        </is>
      </c>
      <c r="B52" s="77" t="inlineStr">
        <is>
          <t>Prabhjot Prabhjot</t>
        </is>
      </c>
      <c r="C52" s="80" t="inlineStr">
        <is>
          <t>HR Manager</t>
        </is>
      </c>
      <c r="D52" s="81" t="inlineStr">
        <is>
          <t>Active</t>
        </is>
      </c>
      <c r="E52" s="82" t="n"/>
    </row>
    <row r="53" ht="18" customHeight="1" s="57">
      <c r="A53" s="80" t="inlineStr">
        <is>
          <t>Rajveer Kaur</t>
        </is>
      </c>
      <c r="B53" s="77" t="inlineStr">
        <is>
          <t>Rajveer Kaur</t>
        </is>
      </c>
      <c r="C53" s="80" t="inlineStr">
        <is>
          <t>HR Manager</t>
        </is>
      </c>
      <c r="D53" s="81" t="inlineStr">
        <is>
          <t>Active</t>
        </is>
      </c>
      <c r="E53" s="82" t="n"/>
    </row>
    <row r="54" ht="18" customHeight="1" s="57">
      <c r="A54" s="80" t="inlineStr">
        <is>
          <t>Rebecca Amiede	 Owobu</t>
        </is>
      </c>
      <c r="B54" s="77" t="inlineStr">
        <is>
          <t>Rebecca Amiede	 Owobu</t>
        </is>
      </c>
      <c r="C54" s="80" t="inlineStr">
        <is>
          <t>HR Manager</t>
        </is>
      </c>
      <c r="D54" s="81" t="inlineStr">
        <is>
          <t>Active</t>
        </is>
      </c>
      <c r="E54" s="82" t="n"/>
    </row>
    <row r="55" ht="18" customHeight="1" s="57">
      <c r="A55" s="80" t="inlineStr">
        <is>
          <t>Rejoice Mushore</t>
        </is>
      </c>
      <c r="B55" s="77" t="inlineStr">
        <is>
          <t>Rejoice Mushore</t>
        </is>
      </c>
      <c r="C55" s="80" t="inlineStr">
        <is>
          <t>HR Manager</t>
        </is>
      </c>
      <c r="D55" s="81" t="inlineStr">
        <is>
          <t>Active</t>
        </is>
      </c>
      <c r="E55" s="82" t="n"/>
    </row>
    <row r="56" ht="18" customHeight="1" s="57">
      <c r="A56" s="80" t="inlineStr">
        <is>
          <t>Richard Asirifi</t>
        </is>
      </c>
      <c r="B56" s="77" t="inlineStr">
        <is>
          <t>Richard Asirifi</t>
        </is>
      </c>
      <c r="C56" s="80" t="inlineStr">
        <is>
          <t>HR Manager</t>
        </is>
      </c>
      <c r="D56" s="81" t="inlineStr">
        <is>
          <t>Active</t>
        </is>
      </c>
      <c r="E56" s="82" t="n"/>
    </row>
    <row r="57" ht="18" customHeight="1" s="57">
      <c r="A57" s="80" t="inlineStr">
        <is>
          <t>Rukayat Akinyemi</t>
        </is>
      </c>
      <c r="B57" s="77" t="inlineStr">
        <is>
          <t>Rukayat Akinyemi</t>
        </is>
      </c>
      <c r="C57" s="80" t="inlineStr">
        <is>
          <t>HR Manager</t>
        </is>
      </c>
      <c r="D57" s="81" t="inlineStr">
        <is>
          <t>Active</t>
        </is>
      </c>
      <c r="E57" s="82" t="n"/>
    </row>
    <row r="58" ht="18" customHeight="1" s="57">
      <c r="A58" s="80" t="inlineStr">
        <is>
          <t>Ruth Olubusayo  Ajayi</t>
        </is>
      </c>
      <c r="B58" s="77" t="inlineStr">
        <is>
          <t>Ruth Olubusayo  Ajayi</t>
        </is>
      </c>
      <c r="C58" s="80" t="inlineStr">
        <is>
          <t>HR Manager</t>
        </is>
      </c>
      <c r="D58" s="81" t="inlineStr">
        <is>
          <t>Active</t>
        </is>
      </c>
      <c r="E58" s="82" t="n"/>
    </row>
    <row r="59" ht="18" customHeight="1" s="57">
      <c r="A59" s="80" t="inlineStr">
        <is>
          <t>Sajida Bibi</t>
        </is>
      </c>
      <c r="B59" s="77" t="inlineStr">
        <is>
          <t>Sajida Bibi</t>
        </is>
      </c>
      <c r="C59" s="80" t="inlineStr">
        <is>
          <t>HR Manager</t>
        </is>
      </c>
      <c r="D59" s="81" t="inlineStr">
        <is>
          <t>Active</t>
        </is>
      </c>
      <c r="E59" s="82" t="n"/>
    </row>
    <row r="60" ht="18" customHeight="1" s="57">
      <c r="A60" s="80" t="inlineStr">
        <is>
          <t>Sarah Adegbola</t>
        </is>
      </c>
      <c r="B60" s="77" t="inlineStr">
        <is>
          <t>Sarah Adegbola</t>
        </is>
      </c>
      <c r="C60" s="80" t="inlineStr">
        <is>
          <t>HR Manager</t>
        </is>
      </c>
      <c r="D60" s="81" t="inlineStr">
        <is>
          <t>Active</t>
        </is>
      </c>
      <c r="E60" s="82" t="n"/>
    </row>
    <row r="61" ht="18" customHeight="1" s="57">
      <c r="A61" s="80" t="inlineStr">
        <is>
          <t>Sharon Imaku</t>
        </is>
      </c>
      <c r="B61" s="77" t="inlineStr">
        <is>
          <t>Sharon Imaku</t>
        </is>
      </c>
      <c r="C61" s="80" t="inlineStr">
        <is>
          <t>HR Manager</t>
        </is>
      </c>
      <c r="D61" s="81" t="inlineStr">
        <is>
          <t>Active</t>
        </is>
      </c>
      <c r="E61" s="82" t="n"/>
    </row>
    <row r="62" ht="18" customHeight="1" s="57">
      <c r="A62" s="80" t="inlineStr">
        <is>
          <t>Simileoluwa Fashina</t>
        </is>
      </c>
      <c r="B62" s="77" t="inlineStr">
        <is>
          <t>Simileoluwa Fashina</t>
        </is>
      </c>
      <c r="C62" s="80" t="inlineStr">
        <is>
          <t>HR Manager</t>
        </is>
      </c>
      <c r="D62" s="81" t="inlineStr">
        <is>
          <t>Active</t>
        </is>
      </c>
      <c r="E62" s="82" t="n"/>
    </row>
    <row r="63" ht="18" customHeight="1" s="57">
      <c r="A63" s="80" t="inlineStr">
        <is>
          <t>Temitope Musa</t>
        </is>
      </c>
      <c r="B63" s="77" t="inlineStr">
        <is>
          <t>Temitope Musa</t>
        </is>
      </c>
      <c r="C63" s="80" t="inlineStr">
        <is>
          <t>HR Manager</t>
        </is>
      </c>
      <c r="D63" s="81" t="inlineStr">
        <is>
          <t>Active</t>
        </is>
      </c>
      <c r="E63" s="82" t="n"/>
    </row>
    <row r="64" ht="18" customHeight="1" s="57">
      <c r="A64" s="80" t="inlineStr">
        <is>
          <t>Tendai Masvore</t>
        </is>
      </c>
      <c r="B64" s="77" t="inlineStr">
        <is>
          <t>Tendai Masvore</t>
        </is>
      </c>
      <c r="C64" s="80" t="inlineStr">
        <is>
          <t>HR Manager</t>
        </is>
      </c>
      <c r="D64" s="81" t="inlineStr">
        <is>
          <t>Active</t>
        </is>
      </c>
      <c r="E64" s="82" t="n"/>
    </row>
    <row r="65" ht="18" customHeight="1" s="57">
      <c r="A65" s="80" t="inlineStr">
        <is>
          <t>Thandazani Chisangowerota</t>
        </is>
      </c>
      <c r="B65" s="77" t="inlineStr">
        <is>
          <t>Thandazani Chisangowerota</t>
        </is>
      </c>
      <c r="C65" s="80" t="inlineStr">
        <is>
          <t>HR Manager</t>
        </is>
      </c>
      <c r="D65" s="81" t="inlineStr">
        <is>
          <t>Active</t>
        </is>
      </c>
      <c r="E65" s="82" t="n"/>
    </row>
    <row r="66" ht="18" customHeight="1" s="57">
      <c r="A66" s="80" t="inlineStr">
        <is>
          <t>Tintu Sebastian</t>
        </is>
      </c>
      <c r="B66" s="77" t="inlineStr">
        <is>
          <t>Tintu Sebastian</t>
        </is>
      </c>
      <c r="C66" s="80" t="inlineStr">
        <is>
          <t>HR Manager</t>
        </is>
      </c>
      <c r="D66" s="81" t="inlineStr">
        <is>
          <t>Active</t>
        </is>
      </c>
      <c r="E66" s="82" t="n"/>
    </row>
    <row r="67" ht="18" customHeight="1" s="57">
      <c r="A67" s="80" t="inlineStr">
        <is>
          <t>Usman Adegboye</t>
        </is>
      </c>
      <c r="B67" s="77" t="inlineStr">
        <is>
          <t>Usman Adegboye</t>
        </is>
      </c>
      <c r="C67" s="80" t="inlineStr">
        <is>
          <t>HR Manager</t>
        </is>
      </c>
      <c r="D67" s="81" t="inlineStr">
        <is>
          <t>Active</t>
        </is>
      </c>
      <c r="E67" s="82" t="n"/>
    </row>
    <row r="68" ht="18" customHeight="1" s="57">
      <c r="A68" s="80" t="inlineStr">
        <is>
          <t>Varsha Rabari</t>
        </is>
      </c>
      <c r="B68" s="77" t="inlineStr">
        <is>
          <t>Varsha Rabari</t>
        </is>
      </c>
      <c r="C68" s="80" t="inlineStr">
        <is>
          <t>HR Manager</t>
        </is>
      </c>
      <c r="D68" s="81" t="inlineStr">
        <is>
          <t>Active</t>
        </is>
      </c>
      <c r="E68" s="82" t="n"/>
    </row>
    <row r="69" ht="18" customHeight="1" s="57">
      <c r="A69" s="80" t="inlineStr">
        <is>
          <t>Winfred Makau</t>
        </is>
      </c>
      <c r="B69" s="77" t="inlineStr">
        <is>
          <t>Winfred Makau</t>
        </is>
      </c>
      <c r="C69" s="80" t="inlineStr">
        <is>
          <t>HR Manager</t>
        </is>
      </c>
      <c r="D69" s="81" t="inlineStr">
        <is>
          <t>Active</t>
        </is>
      </c>
      <c r="E69" s="82" t="n"/>
    </row>
    <row r="70" ht="18" customHeight="1" s="57">
      <c r="A70" s="80" t="inlineStr">
        <is>
          <t>Winfred Nyingi</t>
        </is>
      </c>
      <c r="B70" s="77" t="inlineStr">
        <is>
          <t>Winfred Nyingi</t>
        </is>
      </c>
      <c r="C70" s="80" t="inlineStr">
        <is>
          <t>HR Manager</t>
        </is>
      </c>
      <c r="D70" s="81" t="inlineStr">
        <is>
          <t>Active</t>
        </is>
      </c>
      <c r="E70" s="82" t="n"/>
    </row>
    <row r="71" ht="18" customHeight="1" s="57">
      <c r="A71" s="80" t="inlineStr">
        <is>
          <t>Zaheer Abbas</t>
        </is>
      </c>
      <c r="B71" s="77" t="inlineStr">
        <is>
          <t>Zaheer Abbas</t>
        </is>
      </c>
      <c r="C71" s="80" t="inlineStr">
        <is>
          <t>HR Manager</t>
        </is>
      </c>
      <c r="D71" s="81" t="inlineStr">
        <is>
          <t>Active</t>
        </is>
      </c>
      <c r="E71" s="82" t="n"/>
    </row>
    <row r="72" ht="18" customHeight="1" s="57">
      <c r="A72" s="80" t="n"/>
      <c r="B72" s="77" t="n"/>
      <c r="C72" s="77" t="n"/>
      <c r="D72" s="81" t="inlineStr">
        <is>
          <t>Active</t>
        </is>
      </c>
      <c r="E72" s="82" t="n"/>
    </row>
    <row r="73" ht="18" customHeight="1" s="57">
      <c r="A73" s="80" t="n"/>
      <c r="B73" s="77" t="n"/>
      <c r="C73" s="77" t="n"/>
      <c r="D73" s="81" t="inlineStr">
        <is>
          <t>Active</t>
        </is>
      </c>
      <c r="E73" s="82" t="n"/>
    </row>
    <row r="74" ht="18" customHeight="1" s="57">
      <c r="A74" s="80" t="n"/>
      <c r="B74" s="77" t="n"/>
      <c r="C74" s="77" t="n"/>
      <c r="D74" s="81" t="inlineStr">
        <is>
          <t>Active</t>
        </is>
      </c>
      <c r="E74" s="82" t="n"/>
    </row>
    <row r="75" ht="18" customHeight="1" s="57">
      <c r="A75" s="80" t="n"/>
      <c r="B75" s="77" t="n"/>
      <c r="C75" s="77" t="n"/>
      <c r="D75" s="81" t="inlineStr">
        <is>
          <t>Active</t>
        </is>
      </c>
      <c r="E75" s="82" t="n"/>
    </row>
    <row r="76" ht="18" customHeight="1" s="57">
      <c r="A76" s="80" t="n"/>
      <c r="B76" s="77" t="n"/>
      <c r="C76" s="77" t="n"/>
      <c r="D76" s="81" t="inlineStr">
        <is>
          <t>Active</t>
        </is>
      </c>
      <c r="E76" s="82" t="n"/>
    </row>
    <row r="77" ht="18" customHeight="1" s="57">
      <c r="A77" s="80" t="n"/>
      <c r="B77" s="77" t="n"/>
      <c r="C77" s="77" t="n"/>
      <c r="D77" s="81" t="inlineStr">
        <is>
          <t>Active</t>
        </is>
      </c>
      <c r="E77" s="82" t="n"/>
    </row>
    <row r="78" ht="18" customHeight="1" s="57">
      <c r="A78" s="80" t="n"/>
      <c r="B78" s="77" t="n"/>
      <c r="C78" s="77" t="n"/>
      <c r="D78" s="81" t="inlineStr">
        <is>
          <t>Active</t>
        </is>
      </c>
      <c r="E78" s="82" t="n"/>
    </row>
    <row r="79" ht="18" customHeight="1" s="57">
      <c r="A79" s="80" t="n"/>
      <c r="B79" s="77" t="n"/>
      <c r="C79" s="77" t="n"/>
      <c r="D79" s="81" t="inlineStr">
        <is>
          <t>Active</t>
        </is>
      </c>
      <c r="E79" s="82" t="n"/>
    </row>
    <row r="80" ht="18" customHeight="1" s="57">
      <c r="A80" s="80" t="n"/>
      <c r="B80" s="77" t="n"/>
      <c r="C80" s="77" t="n"/>
      <c r="D80" s="81" t="inlineStr">
        <is>
          <t>Active</t>
        </is>
      </c>
      <c r="E80" s="82" t="n"/>
    </row>
    <row r="81" ht="18" customHeight="1" s="57">
      <c r="A81" s="80" t="n"/>
      <c r="B81" s="77" t="n"/>
      <c r="C81" s="77" t="n"/>
      <c r="D81" s="81" t="inlineStr">
        <is>
          <t>Active</t>
        </is>
      </c>
      <c r="E81" s="82" t="n"/>
    </row>
    <row r="82" ht="18" customHeight="1" s="57">
      <c r="A82" s="80" t="n"/>
      <c r="B82" s="77" t="n"/>
      <c r="C82" s="77" t="n"/>
      <c r="D82" s="81" t="inlineStr">
        <is>
          <t>Active</t>
        </is>
      </c>
      <c r="E82" s="82" t="n"/>
    </row>
    <row r="83" ht="18" customHeight="1" s="57">
      <c r="A83" s="80" t="n"/>
      <c r="B83" s="77" t="n"/>
      <c r="C83" s="77" t="n"/>
      <c r="D83" s="81" t="inlineStr">
        <is>
          <t>Active</t>
        </is>
      </c>
      <c r="E83" s="82" t="n"/>
    </row>
    <row r="84" ht="18" customHeight="1" s="57">
      <c r="A84" s="80" t="n"/>
      <c r="B84" s="77" t="n"/>
      <c r="C84" s="77" t="n"/>
      <c r="D84" s="81" t="inlineStr">
        <is>
          <t>Active</t>
        </is>
      </c>
      <c r="E84" s="82" t="n"/>
    </row>
    <row r="85" ht="18" customHeight="1" s="57">
      <c r="A85" s="80" t="n"/>
      <c r="B85" s="77" t="n"/>
      <c r="C85" s="77" t="n"/>
      <c r="D85" s="81" t="inlineStr">
        <is>
          <t>Active</t>
        </is>
      </c>
      <c r="E85" s="82" t="n"/>
    </row>
    <row r="86" ht="18" customHeight="1" s="57">
      <c r="A86" s="80" t="n"/>
      <c r="B86" s="77" t="n"/>
      <c r="C86" s="77" t="n"/>
      <c r="D86" s="81" t="inlineStr">
        <is>
          <t>Active</t>
        </is>
      </c>
      <c r="E86" s="82" t="n"/>
    </row>
    <row r="87" ht="18" customHeight="1" s="57">
      <c r="A87" s="80" t="n"/>
      <c r="B87" s="77" t="n"/>
      <c r="C87" s="77" t="n"/>
      <c r="D87" s="81" t="inlineStr">
        <is>
          <t>Active</t>
        </is>
      </c>
      <c r="E87" s="82" t="n"/>
    </row>
    <row r="88" ht="18" customHeight="1" s="57">
      <c r="A88" s="80" t="n"/>
      <c r="B88" s="77" t="n"/>
      <c r="C88" s="77" t="n"/>
      <c r="D88" s="81" t="inlineStr">
        <is>
          <t>Active</t>
        </is>
      </c>
      <c r="E88" s="82" t="n"/>
    </row>
    <row r="89" ht="18" customHeight="1" s="57">
      <c r="A89" s="80" t="n"/>
      <c r="B89" s="77" t="n"/>
      <c r="C89" s="77" t="n"/>
      <c r="D89" s="81" t="inlineStr">
        <is>
          <t>Active</t>
        </is>
      </c>
      <c r="E89" s="82" t="n"/>
    </row>
    <row r="90" ht="18" customHeight="1" s="57">
      <c r="A90" s="80" t="n"/>
      <c r="B90" s="77" t="n"/>
      <c r="C90" s="77" t="n"/>
      <c r="D90" s="81" t="inlineStr">
        <is>
          <t>Active</t>
        </is>
      </c>
      <c r="E90" s="82" t="n"/>
    </row>
    <row r="91" ht="18" customHeight="1" s="57">
      <c r="A91" s="80" t="n"/>
      <c r="B91" s="77" t="n"/>
      <c r="C91" s="77" t="n"/>
      <c r="D91" s="81" t="inlineStr">
        <is>
          <t>Active</t>
        </is>
      </c>
      <c r="E91" s="82" t="n"/>
    </row>
    <row r="92" ht="18" customHeight="1" s="57">
      <c r="A92" s="80" t="n"/>
      <c r="B92" s="77" t="n"/>
      <c r="C92" s="77" t="n"/>
      <c r="D92" s="81" t="inlineStr">
        <is>
          <t>Active</t>
        </is>
      </c>
      <c r="E92" s="82" t="n"/>
    </row>
    <row r="93" ht="18" customHeight="1" s="57">
      <c r="A93" s="80" t="n"/>
      <c r="B93" s="77" t="n"/>
      <c r="C93" s="77" t="n"/>
      <c r="D93" s="81" t="inlineStr">
        <is>
          <t>Active</t>
        </is>
      </c>
      <c r="E93" s="82" t="n"/>
    </row>
    <row r="94" ht="18" customHeight="1" s="57">
      <c r="A94" s="80" t="n"/>
      <c r="B94" s="77" t="n"/>
      <c r="C94" s="77" t="n"/>
      <c r="D94" s="81" t="inlineStr">
        <is>
          <t>Active</t>
        </is>
      </c>
      <c r="E94" s="82" t="n"/>
    </row>
    <row r="95" ht="18" customHeight="1" s="57">
      <c r="A95" s="80" t="n"/>
      <c r="B95" s="77" t="n"/>
      <c r="C95" s="77" t="n"/>
      <c r="D95" s="81" t="inlineStr">
        <is>
          <t>Active</t>
        </is>
      </c>
      <c r="E95" s="82" t="n"/>
    </row>
    <row r="96" ht="18" customHeight="1" s="57">
      <c r="A96" s="80" t="n"/>
      <c r="B96" s="77" t="n"/>
      <c r="C96" s="77" t="n"/>
      <c r="D96" s="81" t="inlineStr">
        <is>
          <t>Active</t>
        </is>
      </c>
      <c r="E96" s="82" t="n"/>
    </row>
    <row r="97" ht="18" customHeight="1" s="57">
      <c r="A97" s="80" t="n"/>
      <c r="B97" s="77" t="n"/>
      <c r="C97" s="77" t="n"/>
      <c r="D97" s="81" t="inlineStr">
        <is>
          <t>Active</t>
        </is>
      </c>
      <c r="E97" s="82" t="n"/>
    </row>
    <row r="98" ht="18" customHeight="1" s="57">
      <c r="A98" s="80" t="n"/>
      <c r="B98" s="77" t="n"/>
      <c r="C98" s="77" t="n"/>
      <c r="D98" s="81" t="inlineStr">
        <is>
          <t>Active</t>
        </is>
      </c>
      <c r="E98" s="82" t="n"/>
    </row>
    <row r="99" ht="18" customHeight="1" s="57">
      <c r="A99" s="80" t="n"/>
      <c r="B99" s="77" t="n"/>
      <c r="C99" s="77" t="n"/>
      <c r="D99" s="81" t="inlineStr">
        <is>
          <t>Active</t>
        </is>
      </c>
      <c r="E99" s="82" t="n"/>
    </row>
    <row r="100" ht="18" customHeight="1" s="57">
      <c r="A100" s="80" t="n"/>
      <c r="B100" s="77" t="n"/>
      <c r="C100" s="77" t="n"/>
      <c r="D100" s="81" t="inlineStr">
        <is>
          <t>Active</t>
        </is>
      </c>
      <c r="E100" s="82" t="n"/>
    </row>
    <row r="101" ht="18" customHeight="1" s="57">
      <c r="A101" s="80" t="n"/>
      <c r="B101" s="77" t="n"/>
      <c r="C101" s="77" t="n"/>
      <c r="D101" s="81" t="inlineStr">
        <is>
          <t>Active</t>
        </is>
      </c>
      <c r="E101" s="82" t="n"/>
    </row>
    <row r="102" ht="18" customHeight="1" s="57">
      <c r="A102" s="80" t="n"/>
      <c r="B102" s="77" t="n"/>
      <c r="C102" s="77" t="n"/>
      <c r="D102" s="81" t="inlineStr">
        <is>
          <t>Active</t>
        </is>
      </c>
      <c r="E102" s="82" t="n"/>
    </row>
    <row r="103" ht="18" customHeight="1" s="57">
      <c r="A103" s="80" t="n"/>
      <c r="B103" s="77" t="n"/>
      <c r="C103" s="77" t="n"/>
      <c r="D103" s="81" t="inlineStr">
        <is>
          <t>Active</t>
        </is>
      </c>
      <c r="E103" s="82" t="n"/>
    </row>
    <row r="104" ht="18" customHeight="1" s="57">
      <c r="A104" s="80" t="n"/>
      <c r="B104" s="77" t="n"/>
      <c r="C104" s="77" t="n"/>
      <c r="D104" s="81" t="inlineStr">
        <is>
          <t>Active</t>
        </is>
      </c>
      <c r="E104" s="82" t="n"/>
    </row>
    <row r="105" ht="18" customHeight="1" s="57">
      <c r="A105" s="80" t="n"/>
      <c r="B105" s="77" t="n"/>
      <c r="C105" s="77" t="n"/>
      <c r="D105" s="81" t="inlineStr">
        <is>
          <t>Active</t>
        </is>
      </c>
      <c r="E105" s="82" t="n"/>
    </row>
    <row r="106" ht="18" customHeight="1" s="57">
      <c r="A106" s="80" t="n"/>
      <c r="B106" s="77" t="n"/>
      <c r="C106" s="77" t="n"/>
      <c r="D106" s="81" t="inlineStr">
        <is>
          <t>Active</t>
        </is>
      </c>
      <c r="E106" s="82" t="n"/>
    </row>
    <row r="107" ht="18" customHeight="1" s="57">
      <c r="A107" s="80" t="n"/>
      <c r="B107" s="77" t="n"/>
      <c r="C107" s="77" t="n"/>
      <c r="D107" s="81" t="inlineStr">
        <is>
          <t>Active</t>
        </is>
      </c>
      <c r="E107" s="8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uuyArcbjHLupvxm/lSQnQ==" formatRows="1" sort="1" spinCount="100000" hashValue="vKhRMVfLIaLDblV8dCS+LUW/quIfoR4ua3Ap4zpd6OC/eODwCfBC5v/N9+RqIeHkoZ2Sqp+FYAchs/FCU2OYbQ=="/>
  <mergeCells count="2">
    <mergeCell ref="A1:E1"/>
    <mergeCell ref="A3:E3"/>
  </mergeCells>
  <conditionalFormatting sqref="A8:A107">
    <cfRule type="expression" rank="0" priority="2" equalAverage="0" aboveAverage="0" dxfId="0" text="" percent="0" bottom="0">
      <formula>COUNTIF($A$8:$A$107,A8)&gt;1</formula>
    </cfRule>
  </conditionalFormatting>
  <conditionalFormatting sqref="B8:B107">
    <cfRule type="expression" rank="0" priority="3" equalAverage="0" aboveAverage="0" dxfId="0" text="" percent="0" bottom="0">
      <formula>AND($A8&lt;&gt;"",$B8="")</formula>
    </cfRule>
  </conditionalFormatting>
  <conditionalFormatting sqref="C8:C107">
    <cfRule type="expression" rank="0" priority="4" equalAverage="0" aboveAverage="0" dxfId="0" text="" percent="0" bottom="0">
      <formula>AND($A8&lt;&gt;"",$C8="")</formula>
    </cfRule>
  </conditionalFormatting>
  <dataValidations count="1">
    <dataValidation sqref="D8:D107" showDropDown="0" showInputMessage="0" showErrorMessage="0" allowBlank="1" type="list" operator="between">
      <formula1>"Active,Inactive"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53" activePane="bottomRight" state="frozen"/>
      <selection pane="topLeft" activeCell="A1" activeCellId="0" sqref="A1"/>
      <selection pane="topRight" activeCell="D1" activeCellId="0" sqref="D1"/>
      <selection pane="bottomLeft" activeCell="A53" activeCellId="0" sqref="A53"/>
      <selection pane="bottomRight" activeCell="D54" activeCellId="0" sqref="D54"/>
    </sheetView>
  </sheetViews>
  <sheetFormatPr baseColWidth="8" defaultRowHeight="14.45" zeroHeight="0" outlineLevelRow="0"/>
  <cols>
    <col width="29.42" customWidth="1" style="56" min="1" max="1"/>
    <col width="26.42" customWidth="1" style="56" min="2" max="2"/>
    <col width="19.99" customWidth="1" style="78" min="3" max="3"/>
    <col width="5.7" customWidth="1" style="56" min="4" max="4"/>
    <col width="4.29" customWidth="1" style="56" min="5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7.87" customWidth="1" style="56" min="48" max="48"/>
    <col width="32.71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January Monthly Staff Attendance Master Register</t>
        </is>
      </c>
    </row>
    <row r="2" ht="24.6" customHeight="1" s="57">
      <c r="A2" s="69" t="inlineStr">
        <is>
          <t>Month Start</t>
        </is>
      </c>
      <c r="B2" s="83">
        <f>DATE('Control Panel'!$B$3,1,1)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V3" s="84" t="inlineStr">
        <is>
          <t>P</t>
        </is>
      </c>
      <c r="AW3" s="62" t="inlineStr">
        <is>
          <t>P</t>
        </is>
      </c>
      <c r="AX3" s="63" t="inlineStr">
        <is>
          <t>Present</t>
        </is>
      </c>
    </row>
    <row r="4" ht="26.45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84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25.15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84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5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84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22.9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84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7.45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inlineStr">
        <is>
          <t>P</t>
        </is>
      </c>
      <c r="E8" s="89" t="inlineStr">
        <is>
          <t>P</t>
        </is>
      </c>
      <c r="F8" s="89" t="inlineStr">
        <is>
          <t>P</t>
        </is>
      </c>
      <c r="G8" s="89" t="inlineStr">
        <is>
          <t>P</t>
        </is>
      </c>
      <c r="H8" s="89" t="inlineStr">
        <is>
          <t>P</t>
        </is>
      </c>
      <c r="I8" s="89" t="inlineStr">
        <is>
          <t>P</t>
        </is>
      </c>
      <c r="J8" s="89" t="inlineStr">
        <is>
          <t>P</t>
        </is>
      </c>
      <c r="K8" s="89" t="inlineStr">
        <is>
          <t>P</t>
        </is>
      </c>
      <c r="L8" s="89" t="inlineStr">
        <is>
          <t>P</t>
        </is>
      </c>
      <c r="M8" s="89" t="inlineStr">
        <is>
          <t>P</t>
        </is>
      </c>
      <c r="N8" s="89" t="inlineStr">
        <is>
          <t>P</t>
        </is>
      </c>
      <c r="O8" s="89" t="inlineStr">
        <is>
          <t>P</t>
        </is>
      </c>
      <c r="P8" s="89" t="inlineStr">
        <is>
          <t>P</t>
        </is>
      </c>
      <c r="Q8" s="89" t="inlineStr">
        <is>
          <t>P</t>
        </is>
      </c>
      <c r="R8" s="89" t="inlineStr">
        <is>
          <t>P</t>
        </is>
      </c>
      <c r="S8" s="89" t="inlineStr">
        <is>
          <t>P</t>
        </is>
      </c>
      <c r="T8" s="89" t="inlineStr">
        <is>
          <t>P</t>
        </is>
      </c>
      <c r="U8" s="89" t="inlineStr">
        <is>
          <t>P</t>
        </is>
      </c>
      <c r="V8" s="89" t="inlineStr">
        <is>
          <t>P</t>
        </is>
      </c>
      <c r="W8" s="89" t="inlineStr">
        <is>
          <t>P</t>
        </is>
      </c>
      <c r="X8" s="89" t="inlineStr">
        <is>
          <t>P</t>
        </is>
      </c>
      <c r="Y8" s="89" t="inlineStr">
        <is>
          <t>P</t>
        </is>
      </c>
      <c r="Z8" s="89" t="inlineStr">
        <is>
          <t>P</t>
        </is>
      </c>
      <c r="AA8" s="89" t="inlineStr">
        <is>
          <t>P</t>
        </is>
      </c>
      <c r="AB8" s="89" t="inlineStr">
        <is>
          <t>P</t>
        </is>
      </c>
      <c r="AC8" s="89" t="inlineStr">
        <is>
          <t>P</t>
        </is>
      </c>
      <c r="AD8" s="89" t="inlineStr">
        <is>
          <t>P</t>
        </is>
      </c>
      <c r="AE8" s="89" t="inlineStr">
        <is>
          <t>P</t>
        </is>
      </c>
      <c r="AF8" s="89" t="inlineStr">
        <is>
          <t>P</t>
        </is>
      </c>
      <c r="AG8" s="89" t="inlineStr">
        <is>
          <t>P</t>
        </is>
      </c>
      <c r="AH8" s="89" t="inlineStr">
        <is>
          <t>P</t>
        </is>
      </c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84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7.45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inlineStr">
        <is>
          <t>P</t>
        </is>
      </c>
      <c r="E9" s="89" t="inlineStr">
        <is>
          <t>P</t>
        </is>
      </c>
      <c r="F9" s="89" t="inlineStr">
        <is>
          <t>P</t>
        </is>
      </c>
      <c r="G9" s="89" t="inlineStr">
        <is>
          <t>P</t>
        </is>
      </c>
      <c r="H9" s="121" t="inlineStr">
        <is>
          <t>UA</t>
        </is>
      </c>
      <c r="I9" s="121" t="inlineStr">
        <is>
          <t>UA</t>
        </is>
      </c>
      <c r="J9" s="121" t="inlineStr">
        <is>
          <t>UA</t>
        </is>
      </c>
      <c r="K9" s="121" t="inlineStr">
        <is>
          <t>UA</t>
        </is>
      </c>
      <c r="L9" s="121" t="inlineStr">
        <is>
          <t>UA</t>
        </is>
      </c>
      <c r="M9" s="121" t="inlineStr">
        <is>
          <t>UA</t>
        </is>
      </c>
      <c r="N9" s="121" t="inlineStr">
        <is>
          <t>UA</t>
        </is>
      </c>
      <c r="O9" s="121" t="inlineStr">
        <is>
          <t>UA</t>
        </is>
      </c>
      <c r="P9" s="121" t="inlineStr">
        <is>
          <t>UA</t>
        </is>
      </c>
      <c r="Q9" s="121" t="inlineStr">
        <is>
          <t>UA</t>
        </is>
      </c>
      <c r="R9" s="121" t="inlineStr">
        <is>
          <t>UA</t>
        </is>
      </c>
      <c r="S9" s="121" t="inlineStr">
        <is>
          <t>UA</t>
        </is>
      </c>
      <c r="T9" s="121" t="inlineStr">
        <is>
          <t>UA</t>
        </is>
      </c>
      <c r="U9" s="121" t="inlineStr">
        <is>
          <t>UA</t>
        </is>
      </c>
      <c r="V9" s="121" t="inlineStr">
        <is>
          <t>UA</t>
        </is>
      </c>
      <c r="W9" s="121" t="inlineStr">
        <is>
          <t>UA</t>
        </is>
      </c>
      <c r="X9" s="121" t="inlineStr">
        <is>
          <t>UA</t>
        </is>
      </c>
      <c r="Y9" s="121" t="inlineStr">
        <is>
          <t>UA</t>
        </is>
      </c>
      <c r="Z9" s="121" t="inlineStr">
        <is>
          <t>UA</t>
        </is>
      </c>
      <c r="AA9" s="121" t="inlineStr">
        <is>
          <t>UA</t>
        </is>
      </c>
      <c r="AB9" s="121" t="inlineStr">
        <is>
          <t>UA</t>
        </is>
      </c>
      <c r="AC9" s="121" t="inlineStr">
        <is>
          <t>UA</t>
        </is>
      </c>
      <c r="AD9" s="121" t="inlineStr">
        <is>
          <t>UA</t>
        </is>
      </c>
      <c r="AE9" s="121" t="inlineStr">
        <is>
          <t>UA</t>
        </is>
      </c>
      <c r="AF9" s="121" t="inlineStr">
        <is>
          <t>UA</t>
        </is>
      </c>
      <c r="AG9" s="121" t="inlineStr">
        <is>
          <t>UA</t>
        </is>
      </c>
      <c r="AH9" s="121" t="inlineStr">
        <is>
          <t>UA</t>
        </is>
      </c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84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6.9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121" t="inlineStr">
        <is>
          <t>UA</t>
        </is>
      </c>
      <c r="E10" s="121" t="inlineStr">
        <is>
          <t>UA</t>
        </is>
      </c>
      <c r="F10" s="121" t="inlineStr">
        <is>
          <t>UA</t>
        </is>
      </c>
      <c r="G10" s="121" t="inlineStr">
        <is>
          <t>UA</t>
        </is>
      </c>
      <c r="H10" s="89" t="inlineStr">
        <is>
          <t>P</t>
        </is>
      </c>
      <c r="I10" s="89" t="inlineStr">
        <is>
          <t>P</t>
        </is>
      </c>
      <c r="J10" s="89" t="inlineStr">
        <is>
          <t>P</t>
        </is>
      </c>
      <c r="K10" s="121" t="inlineStr">
        <is>
          <t>UA</t>
        </is>
      </c>
      <c r="L10" s="89" t="inlineStr">
        <is>
          <t>P</t>
        </is>
      </c>
      <c r="M10" s="89" t="inlineStr">
        <is>
          <t>P</t>
        </is>
      </c>
      <c r="N10" s="89" t="inlineStr">
        <is>
          <t>P</t>
        </is>
      </c>
      <c r="O10" s="89" t="inlineStr">
        <is>
          <t>P</t>
        </is>
      </c>
      <c r="P10" s="89" t="inlineStr">
        <is>
          <t>P</t>
        </is>
      </c>
      <c r="Q10" s="89" t="inlineStr">
        <is>
          <t>P</t>
        </is>
      </c>
      <c r="R10" s="89" t="inlineStr">
        <is>
          <t>P</t>
        </is>
      </c>
      <c r="S10" s="89" t="inlineStr">
        <is>
          <t>P</t>
        </is>
      </c>
      <c r="T10" s="89" t="inlineStr">
        <is>
          <t>P</t>
        </is>
      </c>
      <c r="U10" s="89" t="inlineStr">
        <is>
          <t>P</t>
        </is>
      </c>
      <c r="V10" s="89" t="inlineStr">
        <is>
          <t>P</t>
        </is>
      </c>
      <c r="W10" s="89" t="inlineStr">
        <is>
          <t>P</t>
        </is>
      </c>
      <c r="X10" s="89" t="inlineStr">
        <is>
          <t>P</t>
        </is>
      </c>
      <c r="Y10" s="89" t="inlineStr">
        <is>
          <t>P</t>
        </is>
      </c>
      <c r="Z10" s="89" t="inlineStr">
        <is>
          <t>P</t>
        </is>
      </c>
      <c r="AA10" s="89" t="inlineStr">
        <is>
          <t>P</t>
        </is>
      </c>
      <c r="AB10" s="89" t="inlineStr">
        <is>
          <t>P</t>
        </is>
      </c>
      <c r="AC10" s="89" t="inlineStr">
        <is>
          <t>P</t>
        </is>
      </c>
      <c r="AD10" s="89" t="inlineStr">
        <is>
          <t>P</t>
        </is>
      </c>
      <c r="AE10" s="89" t="inlineStr">
        <is>
          <t>P</t>
        </is>
      </c>
      <c r="AF10" s="89" t="inlineStr">
        <is>
          <t>P</t>
        </is>
      </c>
      <c r="AG10" s="89" t="inlineStr">
        <is>
          <t>P</t>
        </is>
      </c>
      <c r="AH10" s="89" t="inlineStr">
        <is>
          <t>P</t>
        </is>
      </c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84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inlineStr">
        <is>
          <t>P</t>
        </is>
      </c>
      <c r="E11" s="121" t="inlineStr">
        <is>
          <t>UA</t>
        </is>
      </c>
      <c r="F11" s="121" t="inlineStr">
        <is>
          <t>UA</t>
        </is>
      </c>
      <c r="G11" s="121" t="inlineStr">
        <is>
          <t>UA</t>
        </is>
      </c>
      <c r="H11" s="121" t="inlineStr">
        <is>
          <t>UA</t>
        </is>
      </c>
      <c r="I11" s="121" t="inlineStr">
        <is>
          <t>UA</t>
        </is>
      </c>
      <c r="J11" s="121" t="inlineStr">
        <is>
          <t>UA</t>
        </is>
      </c>
      <c r="K11" s="121" t="inlineStr">
        <is>
          <t>UA</t>
        </is>
      </c>
      <c r="L11" s="121" t="inlineStr">
        <is>
          <t>UA</t>
        </is>
      </c>
      <c r="M11" s="121" t="inlineStr">
        <is>
          <t>UA</t>
        </is>
      </c>
      <c r="N11" s="121" t="inlineStr">
        <is>
          <t>UA</t>
        </is>
      </c>
      <c r="O11" s="121" t="inlineStr">
        <is>
          <t>UA</t>
        </is>
      </c>
      <c r="P11" s="121" t="inlineStr">
        <is>
          <t>UA</t>
        </is>
      </c>
      <c r="Q11" s="121" t="inlineStr">
        <is>
          <t>UA</t>
        </is>
      </c>
      <c r="R11" s="121" t="inlineStr">
        <is>
          <t>UA</t>
        </is>
      </c>
      <c r="S11" s="121" t="inlineStr">
        <is>
          <t>UA</t>
        </is>
      </c>
      <c r="T11" s="121" t="inlineStr">
        <is>
          <t>UA</t>
        </is>
      </c>
      <c r="U11" s="121" t="inlineStr">
        <is>
          <t>UA</t>
        </is>
      </c>
      <c r="V11" s="121" t="inlineStr">
        <is>
          <t>UA</t>
        </is>
      </c>
      <c r="W11" s="121" t="inlineStr">
        <is>
          <t>UA</t>
        </is>
      </c>
      <c r="X11" s="121" t="inlineStr">
        <is>
          <t>UA</t>
        </is>
      </c>
      <c r="Y11" s="121" t="inlineStr">
        <is>
          <t>UA</t>
        </is>
      </c>
      <c r="Z11" s="121" t="inlineStr">
        <is>
          <t>UA</t>
        </is>
      </c>
      <c r="AA11" s="121" t="inlineStr">
        <is>
          <t>UA</t>
        </is>
      </c>
      <c r="AB11" s="121" t="inlineStr">
        <is>
          <t>UA</t>
        </is>
      </c>
      <c r="AC11" s="121" t="inlineStr">
        <is>
          <t>UA</t>
        </is>
      </c>
      <c r="AD11" s="121" t="inlineStr">
        <is>
          <t>UA</t>
        </is>
      </c>
      <c r="AE11" s="121" t="inlineStr">
        <is>
          <t>UA</t>
        </is>
      </c>
      <c r="AF11" s="121" t="inlineStr">
        <is>
          <t>UA</t>
        </is>
      </c>
      <c r="AG11" s="121" t="inlineStr">
        <is>
          <t>UA</t>
        </is>
      </c>
      <c r="AH11" s="121" t="inlineStr">
        <is>
          <t>UA</t>
        </is>
      </c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inlineStr">
        <is>
          <t>P</t>
        </is>
      </c>
      <c r="E12" s="89" t="inlineStr">
        <is>
          <t>P</t>
        </is>
      </c>
      <c r="F12" s="89" t="inlineStr">
        <is>
          <t>P</t>
        </is>
      </c>
      <c r="G12" s="89" t="inlineStr">
        <is>
          <t>P</t>
        </is>
      </c>
      <c r="H12" s="89" t="inlineStr">
        <is>
          <t>P</t>
        </is>
      </c>
      <c r="I12" s="89" t="inlineStr">
        <is>
          <t>P</t>
        </is>
      </c>
      <c r="J12" s="89" t="inlineStr">
        <is>
          <t>P</t>
        </is>
      </c>
      <c r="K12" s="89" t="inlineStr">
        <is>
          <t>P</t>
        </is>
      </c>
      <c r="L12" s="89" t="inlineStr">
        <is>
          <t>P</t>
        </is>
      </c>
      <c r="M12" s="89" t="inlineStr">
        <is>
          <t>P</t>
        </is>
      </c>
      <c r="N12" s="89" t="inlineStr">
        <is>
          <t>P</t>
        </is>
      </c>
      <c r="O12" s="89" t="inlineStr">
        <is>
          <t>P</t>
        </is>
      </c>
      <c r="P12" s="89" t="inlineStr">
        <is>
          <t>P</t>
        </is>
      </c>
      <c r="Q12" s="89" t="inlineStr">
        <is>
          <t>P</t>
        </is>
      </c>
      <c r="R12" s="89" t="inlineStr">
        <is>
          <t>P</t>
        </is>
      </c>
      <c r="S12" s="89" t="inlineStr">
        <is>
          <t>P</t>
        </is>
      </c>
      <c r="T12" s="89" t="inlineStr">
        <is>
          <t>P</t>
        </is>
      </c>
      <c r="U12" s="89" t="inlineStr">
        <is>
          <t>P</t>
        </is>
      </c>
      <c r="V12" s="89" t="inlineStr">
        <is>
          <t>P</t>
        </is>
      </c>
      <c r="W12" s="89" t="inlineStr">
        <is>
          <t>P</t>
        </is>
      </c>
      <c r="X12" s="89" t="inlineStr">
        <is>
          <t>P</t>
        </is>
      </c>
      <c r="Y12" s="89" t="inlineStr">
        <is>
          <t>P</t>
        </is>
      </c>
      <c r="Z12" s="89" t="inlineStr">
        <is>
          <t>P</t>
        </is>
      </c>
      <c r="AA12" s="89" t="inlineStr">
        <is>
          <t>P</t>
        </is>
      </c>
      <c r="AB12" s="89" t="inlineStr">
        <is>
          <t>P</t>
        </is>
      </c>
      <c r="AC12" s="89" t="inlineStr">
        <is>
          <t>P</t>
        </is>
      </c>
      <c r="AD12" s="89" t="inlineStr">
        <is>
          <t>P</t>
        </is>
      </c>
      <c r="AE12" s="89" t="inlineStr">
        <is>
          <t>P</t>
        </is>
      </c>
      <c r="AF12" s="89" t="inlineStr">
        <is>
          <t>P</t>
        </is>
      </c>
      <c r="AG12" s="89" t="inlineStr">
        <is>
          <t>P</t>
        </is>
      </c>
      <c r="AH12" s="89" t="inlineStr">
        <is>
          <t>P</t>
        </is>
      </c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inlineStr">
        <is>
          <t>P</t>
        </is>
      </c>
      <c r="E13" s="89" t="inlineStr">
        <is>
          <t>P</t>
        </is>
      </c>
      <c r="F13" s="89" t="inlineStr">
        <is>
          <t>P</t>
        </is>
      </c>
      <c r="G13" s="89" t="inlineStr">
        <is>
          <t>P</t>
        </is>
      </c>
      <c r="H13" s="89" t="inlineStr">
        <is>
          <t>P</t>
        </is>
      </c>
      <c r="I13" s="89" t="inlineStr">
        <is>
          <t>P</t>
        </is>
      </c>
      <c r="J13" s="89" t="inlineStr">
        <is>
          <t>P</t>
        </is>
      </c>
      <c r="K13" s="89" t="inlineStr">
        <is>
          <t>P</t>
        </is>
      </c>
      <c r="L13" s="89" t="inlineStr">
        <is>
          <t>P</t>
        </is>
      </c>
      <c r="M13" s="89" t="inlineStr">
        <is>
          <t>P</t>
        </is>
      </c>
      <c r="N13" s="89" t="inlineStr">
        <is>
          <t>P</t>
        </is>
      </c>
      <c r="O13" s="89" t="inlineStr">
        <is>
          <t>P</t>
        </is>
      </c>
      <c r="P13" s="89" t="inlineStr">
        <is>
          <t>P</t>
        </is>
      </c>
      <c r="Q13" s="89" t="inlineStr">
        <is>
          <t>P</t>
        </is>
      </c>
      <c r="R13" s="89" t="inlineStr">
        <is>
          <t>P</t>
        </is>
      </c>
      <c r="S13" s="89" t="inlineStr">
        <is>
          <t>P</t>
        </is>
      </c>
      <c r="T13" s="89" t="inlineStr">
        <is>
          <t>P</t>
        </is>
      </c>
      <c r="U13" s="89" t="inlineStr">
        <is>
          <t>P</t>
        </is>
      </c>
      <c r="V13" s="89" t="inlineStr">
        <is>
          <t>P</t>
        </is>
      </c>
      <c r="W13" s="89" t="inlineStr">
        <is>
          <t>P</t>
        </is>
      </c>
      <c r="X13" s="89" t="inlineStr">
        <is>
          <t>P</t>
        </is>
      </c>
      <c r="Y13" s="89" t="inlineStr">
        <is>
          <t>P</t>
        </is>
      </c>
      <c r="Z13" s="89" t="inlineStr">
        <is>
          <t>P</t>
        </is>
      </c>
      <c r="AA13" s="89" t="inlineStr">
        <is>
          <t>P</t>
        </is>
      </c>
      <c r="AB13" s="89" t="inlineStr">
        <is>
          <t>P</t>
        </is>
      </c>
      <c r="AC13" s="89" t="inlineStr">
        <is>
          <t>P</t>
        </is>
      </c>
      <c r="AD13" s="89" t="inlineStr">
        <is>
          <t>P</t>
        </is>
      </c>
      <c r="AE13" s="89" t="inlineStr">
        <is>
          <t>P</t>
        </is>
      </c>
      <c r="AF13" s="89" t="inlineStr">
        <is>
          <t>P</t>
        </is>
      </c>
      <c r="AG13" s="89" t="inlineStr">
        <is>
          <t>P</t>
        </is>
      </c>
      <c r="AH13" s="89" t="inlineStr">
        <is>
          <t>P</t>
        </is>
      </c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inlineStr">
        <is>
          <t>P</t>
        </is>
      </c>
      <c r="E14" s="89" t="inlineStr">
        <is>
          <t>P</t>
        </is>
      </c>
      <c r="F14" s="89" t="inlineStr">
        <is>
          <t>P</t>
        </is>
      </c>
      <c r="G14" s="89" t="inlineStr">
        <is>
          <t>P</t>
        </is>
      </c>
      <c r="H14" s="89" t="inlineStr">
        <is>
          <t>P</t>
        </is>
      </c>
      <c r="I14" s="89" t="inlineStr">
        <is>
          <t>P</t>
        </is>
      </c>
      <c r="J14" s="89" t="inlineStr">
        <is>
          <t>P</t>
        </is>
      </c>
      <c r="K14" s="89" t="inlineStr">
        <is>
          <t>P</t>
        </is>
      </c>
      <c r="L14" s="89" t="inlineStr">
        <is>
          <t>P</t>
        </is>
      </c>
      <c r="M14" s="89" t="inlineStr">
        <is>
          <t>P</t>
        </is>
      </c>
      <c r="N14" s="89" t="inlineStr">
        <is>
          <t>P</t>
        </is>
      </c>
      <c r="O14" s="89" t="inlineStr">
        <is>
          <t>P</t>
        </is>
      </c>
      <c r="P14" s="89" t="inlineStr">
        <is>
          <t>P</t>
        </is>
      </c>
      <c r="Q14" s="89" t="inlineStr">
        <is>
          <t>P</t>
        </is>
      </c>
      <c r="R14" s="89" t="inlineStr">
        <is>
          <t>P</t>
        </is>
      </c>
      <c r="S14" s="89" t="inlineStr">
        <is>
          <t>P</t>
        </is>
      </c>
      <c r="T14" s="89" t="inlineStr">
        <is>
          <t>P</t>
        </is>
      </c>
      <c r="U14" s="89" t="inlineStr">
        <is>
          <t>P</t>
        </is>
      </c>
      <c r="V14" s="89" t="inlineStr">
        <is>
          <t>P</t>
        </is>
      </c>
      <c r="W14" s="89" t="inlineStr">
        <is>
          <t>P</t>
        </is>
      </c>
      <c r="X14" s="89" t="inlineStr">
        <is>
          <t>P</t>
        </is>
      </c>
      <c r="Y14" s="89" t="inlineStr">
        <is>
          <t>P</t>
        </is>
      </c>
      <c r="Z14" s="89" t="inlineStr">
        <is>
          <t>P</t>
        </is>
      </c>
      <c r="AA14" s="89" t="inlineStr">
        <is>
          <t>P</t>
        </is>
      </c>
      <c r="AB14" s="89" t="inlineStr">
        <is>
          <t>P</t>
        </is>
      </c>
      <c r="AC14" s="89" t="inlineStr">
        <is>
          <t>P</t>
        </is>
      </c>
      <c r="AD14" s="89" t="inlineStr">
        <is>
          <t>P</t>
        </is>
      </c>
      <c r="AE14" s="89" t="inlineStr">
        <is>
          <t>P</t>
        </is>
      </c>
      <c r="AF14" s="89" t="inlineStr">
        <is>
          <t>P</t>
        </is>
      </c>
      <c r="AG14" s="89" t="inlineStr">
        <is>
          <t>P</t>
        </is>
      </c>
      <c r="AH14" s="89" t="inlineStr">
        <is>
          <t>P</t>
        </is>
      </c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inlineStr">
        <is>
          <t>P</t>
        </is>
      </c>
      <c r="E15" s="89" t="inlineStr">
        <is>
          <t>P</t>
        </is>
      </c>
      <c r="F15" s="89" t="inlineStr">
        <is>
          <t>P</t>
        </is>
      </c>
      <c r="G15" s="89" t="inlineStr">
        <is>
          <t>P</t>
        </is>
      </c>
      <c r="H15" s="89" t="inlineStr">
        <is>
          <t>P</t>
        </is>
      </c>
      <c r="I15" s="89" t="inlineStr">
        <is>
          <t>P</t>
        </is>
      </c>
      <c r="J15" s="89" t="inlineStr">
        <is>
          <t>P</t>
        </is>
      </c>
      <c r="K15" s="89" t="inlineStr">
        <is>
          <t>P</t>
        </is>
      </c>
      <c r="L15" s="89" t="inlineStr">
        <is>
          <t>P</t>
        </is>
      </c>
      <c r="M15" s="89" t="inlineStr">
        <is>
          <t>P</t>
        </is>
      </c>
      <c r="N15" s="89" t="inlineStr">
        <is>
          <t>P</t>
        </is>
      </c>
      <c r="O15" s="89" t="inlineStr">
        <is>
          <t>P</t>
        </is>
      </c>
      <c r="P15" s="89" t="inlineStr">
        <is>
          <t>P</t>
        </is>
      </c>
      <c r="Q15" s="89" t="inlineStr">
        <is>
          <t>P</t>
        </is>
      </c>
      <c r="R15" s="89" t="inlineStr">
        <is>
          <t>P</t>
        </is>
      </c>
      <c r="S15" s="89" t="inlineStr">
        <is>
          <t>P</t>
        </is>
      </c>
      <c r="T15" s="89" t="inlineStr">
        <is>
          <t>P</t>
        </is>
      </c>
      <c r="U15" s="89" t="inlineStr">
        <is>
          <t>P</t>
        </is>
      </c>
      <c r="V15" s="121" t="inlineStr">
        <is>
          <t>UA</t>
        </is>
      </c>
      <c r="W15" s="121" t="inlineStr">
        <is>
          <t>UA</t>
        </is>
      </c>
      <c r="X15" s="89" t="inlineStr">
        <is>
          <t>P</t>
        </is>
      </c>
      <c r="Y15" s="89" t="inlineStr">
        <is>
          <t>P</t>
        </is>
      </c>
      <c r="Z15" s="89" t="inlineStr">
        <is>
          <t>P</t>
        </is>
      </c>
      <c r="AA15" s="89" t="inlineStr">
        <is>
          <t>P</t>
        </is>
      </c>
      <c r="AB15" s="89" t="inlineStr">
        <is>
          <t>P</t>
        </is>
      </c>
      <c r="AC15" s="89" t="inlineStr">
        <is>
          <t>P</t>
        </is>
      </c>
      <c r="AD15" s="89" t="inlineStr">
        <is>
          <t>P</t>
        </is>
      </c>
      <c r="AE15" s="89" t="inlineStr">
        <is>
          <t>P</t>
        </is>
      </c>
      <c r="AF15" s="89" t="inlineStr">
        <is>
          <t>P</t>
        </is>
      </c>
      <c r="AG15" s="89" t="inlineStr">
        <is>
          <t>P</t>
        </is>
      </c>
      <c r="AH15" s="89" t="inlineStr">
        <is>
          <t>P</t>
        </is>
      </c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inlineStr">
        <is>
          <t>P</t>
        </is>
      </c>
      <c r="E16" s="89" t="inlineStr">
        <is>
          <t>P</t>
        </is>
      </c>
      <c r="F16" s="89" t="inlineStr">
        <is>
          <t>P</t>
        </is>
      </c>
      <c r="G16" s="89" t="inlineStr">
        <is>
          <t>P</t>
        </is>
      </c>
      <c r="H16" s="89" t="inlineStr">
        <is>
          <t>P</t>
        </is>
      </c>
      <c r="I16" s="89" t="inlineStr">
        <is>
          <t>P</t>
        </is>
      </c>
      <c r="J16" s="89" t="inlineStr">
        <is>
          <t>P</t>
        </is>
      </c>
      <c r="K16" s="89" t="inlineStr">
        <is>
          <t>P</t>
        </is>
      </c>
      <c r="L16" s="89" t="inlineStr">
        <is>
          <t>P</t>
        </is>
      </c>
      <c r="M16" s="89" t="inlineStr">
        <is>
          <t>P</t>
        </is>
      </c>
      <c r="N16" s="89" t="inlineStr">
        <is>
          <t>P</t>
        </is>
      </c>
      <c r="O16" s="89" t="inlineStr">
        <is>
          <t>P</t>
        </is>
      </c>
      <c r="P16" s="89" t="inlineStr">
        <is>
          <t>P</t>
        </is>
      </c>
      <c r="Q16" s="89" t="inlineStr">
        <is>
          <t>P</t>
        </is>
      </c>
      <c r="R16" s="89" t="inlineStr">
        <is>
          <t>P</t>
        </is>
      </c>
      <c r="S16" s="89" t="inlineStr">
        <is>
          <t>P</t>
        </is>
      </c>
      <c r="T16" s="89" t="inlineStr">
        <is>
          <t>P</t>
        </is>
      </c>
      <c r="U16" s="89" t="inlineStr">
        <is>
          <t>P</t>
        </is>
      </c>
      <c r="V16" s="89" t="inlineStr">
        <is>
          <t>P</t>
        </is>
      </c>
      <c r="W16" s="89" t="inlineStr">
        <is>
          <t>P</t>
        </is>
      </c>
      <c r="X16" s="89" t="inlineStr">
        <is>
          <t>P</t>
        </is>
      </c>
      <c r="Y16" s="89" t="inlineStr">
        <is>
          <t>P</t>
        </is>
      </c>
      <c r="Z16" s="89" t="inlineStr">
        <is>
          <t>P</t>
        </is>
      </c>
      <c r="AA16" s="89" t="inlineStr">
        <is>
          <t>P</t>
        </is>
      </c>
      <c r="AB16" s="89" t="inlineStr">
        <is>
          <t>P</t>
        </is>
      </c>
      <c r="AC16" s="89" t="inlineStr">
        <is>
          <t>P</t>
        </is>
      </c>
      <c r="AD16" s="89" t="inlineStr">
        <is>
          <t>P</t>
        </is>
      </c>
      <c r="AE16" s="89" t="inlineStr">
        <is>
          <t>P</t>
        </is>
      </c>
      <c r="AF16" s="89" t="inlineStr">
        <is>
          <t>P</t>
        </is>
      </c>
      <c r="AG16" s="89" t="inlineStr">
        <is>
          <t>P</t>
        </is>
      </c>
      <c r="AH16" s="89" t="inlineStr">
        <is>
          <t>P</t>
        </is>
      </c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inlineStr">
        <is>
          <t>P</t>
        </is>
      </c>
      <c r="E17" s="89" t="inlineStr">
        <is>
          <t>P</t>
        </is>
      </c>
      <c r="F17" s="89" t="inlineStr">
        <is>
          <t>P</t>
        </is>
      </c>
      <c r="G17" s="89" t="inlineStr">
        <is>
          <t>P</t>
        </is>
      </c>
      <c r="H17" s="89" t="inlineStr">
        <is>
          <t>P</t>
        </is>
      </c>
      <c r="I17" s="89" t="inlineStr">
        <is>
          <t>P</t>
        </is>
      </c>
      <c r="J17" s="89" t="inlineStr">
        <is>
          <t>P</t>
        </is>
      </c>
      <c r="K17" s="89" t="inlineStr">
        <is>
          <t>P</t>
        </is>
      </c>
      <c r="L17" s="89" t="inlineStr">
        <is>
          <t>P</t>
        </is>
      </c>
      <c r="M17" s="89" t="inlineStr">
        <is>
          <t>P</t>
        </is>
      </c>
      <c r="N17" s="89" t="inlineStr">
        <is>
          <t>P</t>
        </is>
      </c>
      <c r="O17" s="89" t="inlineStr">
        <is>
          <t>P</t>
        </is>
      </c>
      <c r="P17" s="89" t="inlineStr">
        <is>
          <t>P</t>
        </is>
      </c>
      <c r="Q17" s="89" t="inlineStr">
        <is>
          <t>P</t>
        </is>
      </c>
      <c r="R17" s="89" t="inlineStr">
        <is>
          <t>P</t>
        </is>
      </c>
      <c r="S17" s="89" t="inlineStr">
        <is>
          <t>P</t>
        </is>
      </c>
      <c r="T17" s="89" t="inlineStr">
        <is>
          <t>P</t>
        </is>
      </c>
      <c r="U17" s="89" t="inlineStr">
        <is>
          <t>P</t>
        </is>
      </c>
      <c r="V17" s="89" t="inlineStr">
        <is>
          <t>P</t>
        </is>
      </c>
      <c r="W17" s="89" t="inlineStr">
        <is>
          <t>P</t>
        </is>
      </c>
      <c r="X17" s="89" t="inlineStr">
        <is>
          <t>P</t>
        </is>
      </c>
      <c r="Y17" s="89" t="inlineStr">
        <is>
          <t>P</t>
        </is>
      </c>
      <c r="Z17" s="89" t="inlineStr">
        <is>
          <t>P</t>
        </is>
      </c>
      <c r="AA17" s="89" t="inlineStr">
        <is>
          <t>P</t>
        </is>
      </c>
      <c r="AB17" s="89" t="inlineStr">
        <is>
          <t>P</t>
        </is>
      </c>
      <c r="AC17" s="89" t="inlineStr">
        <is>
          <t>P</t>
        </is>
      </c>
      <c r="AD17" s="89" t="inlineStr">
        <is>
          <t>P</t>
        </is>
      </c>
      <c r="AE17" s="89" t="inlineStr">
        <is>
          <t>P</t>
        </is>
      </c>
      <c r="AF17" s="89" t="inlineStr">
        <is>
          <t>P</t>
        </is>
      </c>
      <c r="AG17" s="89" t="inlineStr">
        <is>
          <t>P</t>
        </is>
      </c>
      <c r="AH17" s="89" t="inlineStr">
        <is>
          <t>P</t>
        </is>
      </c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inlineStr">
        <is>
          <t>P</t>
        </is>
      </c>
      <c r="E18" s="89" t="inlineStr">
        <is>
          <t>P</t>
        </is>
      </c>
      <c r="F18" s="89" t="inlineStr">
        <is>
          <t>P</t>
        </is>
      </c>
      <c r="G18" s="89" t="inlineStr">
        <is>
          <t>P</t>
        </is>
      </c>
      <c r="H18" s="121" t="inlineStr">
        <is>
          <t>UA</t>
        </is>
      </c>
      <c r="I18" s="121" t="inlineStr">
        <is>
          <t>UA</t>
        </is>
      </c>
      <c r="J18" s="121" t="inlineStr">
        <is>
          <t>UA</t>
        </is>
      </c>
      <c r="K18" s="121" t="inlineStr">
        <is>
          <t>UA</t>
        </is>
      </c>
      <c r="L18" s="121" t="inlineStr">
        <is>
          <t>UA</t>
        </is>
      </c>
      <c r="M18" s="121" t="inlineStr">
        <is>
          <t>UA</t>
        </is>
      </c>
      <c r="N18" s="121" t="inlineStr">
        <is>
          <t>UA</t>
        </is>
      </c>
      <c r="O18" s="121" t="inlineStr">
        <is>
          <t>UA</t>
        </is>
      </c>
      <c r="P18" s="121" t="inlineStr">
        <is>
          <t>UA</t>
        </is>
      </c>
      <c r="Q18" s="121" t="inlineStr">
        <is>
          <t>UA</t>
        </is>
      </c>
      <c r="R18" s="121" t="inlineStr">
        <is>
          <t>UA</t>
        </is>
      </c>
      <c r="S18" s="121" t="inlineStr">
        <is>
          <t>UA</t>
        </is>
      </c>
      <c r="T18" s="121" t="inlineStr">
        <is>
          <t>UA</t>
        </is>
      </c>
      <c r="U18" s="121" t="inlineStr">
        <is>
          <t>UA</t>
        </is>
      </c>
      <c r="V18" s="121" t="inlineStr">
        <is>
          <t>UA</t>
        </is>
      </c>
      <c r="W18" s="121" t="inlineStr">
        <is>
          <t>UA</t>
        </is>
      </c>
      <c r="X18" s="121" t="inlineStr">
        <is>
          <t>UA</t>
        </is>
      </c>
      <c r="Y18" s="121" t="inlineStr">
        <is>
          <t>UA</t>
        </is>
      </c>
      <c r="Z18" s="121" t="inlineStr">
        <is>
          <t>UA</t>
        </is>
      </c>
      <c r="AA18" s="121" t="inlineStr">
        <is>
          <t>UA</t>
        </is>
      </c>
      <c r="AB18" s="121" t="inlineStr">
        <is>
          <t>UA</t>
        </is>
      </c>
      <c r="AC18" s="121" t="inlineStr">
        <is>
          <t>UA</t>
        </is>
      </c>
      <c r="AD18" s="121" t="inlineStr">
        <is>
          <t>UA</t>
        </is>
      </c>
      <c r="AE18" s="121" t="inlineStr">
        <is>
          <t>UA</t>
        </is>
      </c>
      <c r="AF18" s="121" t="inlineStr">
        <is>
          <t>UA</t>
        </is>
      </c>
      <c r="AG18" s="121" t="inlineStr">
        <is>
          <t>UA</t>
        </is>
      </c>
      <c r="AH18" s="89" t="inlineStr">
        <is>
          <t>P</t>
        </is>
      </c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inlineStr">
        <is>
          <t>P</t>
        </is>
      </c>
      <c r="E19" s="89" t="inlineStr">
        <is>
          <t>P</t>
        </is>
      </c>
      <c r="F19" s="89" t="inlineStr">
        <is>
          <t>P</t>
        </is>
      </c>
      <c r="G19" s="89" t="inlineStr">
        <is>
          <t>P</t>
        </is>
      </c>
      <c r="H19" s="89" t="inlineStr">
        <is>
          <t>P</t>
        </is>
      </c>
      <c r="I19" s="89" t="inlineStr">
        <is>
          <t>P</t>
        </is>
      </c>
      <c r="J19" s="89" t="inlineStr">
        <is>
          <t>P</t>
        </is>
      </c>
      <c r="K19" s="89" t="inlineStr">
        <is>
          <t>P</t>
        </is>
      </c>
      <c r="L19" s="89" t="inlineStr">
        <is>
          <t>P</t>
        </is>
      </c>
      <c r="M19" s="89" t="inlineStr">
        <is>
          <t>P</t>
        </is>
      </c>
      <c r="N19" s="89" t="inlineStr">
        <is>
          <t>P</t>
        </is>
      </c>
      <c r="O19" s="89" t="inlineStr">
        <is>
          <t>P</t>
        </is>
      </c>
      <c r="P19" s="89" t="inlineStr">
        <is>
          <t>P</t>
        </is>
      </c>
      <c r="Q19" s="89" t="inlineStr">
        <is>
          <t>P</t>
        </is>
      </c>
      <c r="R19" s="89" t="inlineStr">
        <is>
          <t>P</t>
        </is>
      </c>
      <c r="S19" s="89" t="inlineStr">
        <is>
          <t>P</t>
        </is>
      </c>
      <c r="T19" s="89" t="inlineStr">
        <is>
          <t>P</t>
        </is>
      </c>
      <c r="U19" s="89" t="inlineStr">
        <is>
          <t>P</t>
        </is>
      </c>
      <c r="V19" s="89" t="inlineStr">
        <is>
          <t>P</t>
        </is>
      </c>
      <c r="W19" s="89" t="inlineStr">
        <is>
          <t>P</t>
        </is>
      </c>
      <c r="X19" s="89" t="inlineStr">
        <is>
          <t>P</t>
        </is>
      </c>
      <c r="Y19" s="89" t="inlineStr">
        <is>
          <t>P</t>
        </is>
      </c>
      <c r="Z19" s="89" t="inlineStr">
        <is>
          <t>P</t>
        </is>
      </c>
      <c r="AA19" s="89" t="inlineStr">
        <is>
          <t>P</t>
        </is>
      </c>
      <c r="AB19" s="89" t="inlineStr">
        <is>
          <t>P</t>
        </is>
      </c>
      <c r="AC19" s="121" t="inlineStr">
        <is>
          <t>UA</t>
        </is>
      </c>
      <c r="AD19" s="89" t="inlineStr">
        <is>
          <t>P</t>
        </is>
      </c>
      <c r="AE19" s="89" t="inlineStr">
        <is>
          <t>P</t>
        </is>
      </c>
      <c r="AF19" s="89" t="inlineStr">
        <is>
          <t>P</t>
        </is>
      </c>
      <c r="AG19" s="89" t="inlineStr">
        <is>
          <t>P</t>
        </is>
      </c>
      <c r="AH19" s="89" t="inlineStr">
        <is>
          <t>P</t>
        </is>
      </c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28.15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inlineStr">
        <is>
          <t>P</t>
        </is>
      </c>
      <c r="E20" s="89" t="inlineStr">
        <is>
          <t>P</t>
        </is>
      </c>
      <c r="F20" s="89" t="inlineStr">
        <is>
          <t>P</t>
        </is>
      </c>
      <c r="G20" s="89" t="inlineStr">
        <is>
          <t>P</t>
        </is>
      </c>
      <c r="H20" s="89" t="inlineStr">
        <is>
          <t>P</t>
        </is>
      </c>
      <c r="I20" s="89" t="inlineStr">
        <is>
          <t>P</t>
        </is>
      </c>
      <c r="J20" s="89" t="inlineStr">
        <is>
          <t>P</t>
        </is>
      </c>
      <c r="K20" s="89" t="inlineStr">
        <is>
          <t>P</t>
        </is>
      </c>
      <c r="L20" s="89" t="inlineStr">
        <is>
          <t>P</t>
        </is>
      </c>
      <c r="M20" s="89" t="inlineStr">
        <is>
          <t>P</t>
        </is>
      </c>
      <c r="N20" s="89" t="inlineStr">
        <is>
          <t>P</t>
        </is>
      </c>
      <c r="O20" s="89" t="inlineStr">
        <is>
          <t>P</t>
        </is>
      </c>
      <c r="P20" s="89" t="inlineStr">
        <is>
          <t>P</t>
        </is>
      </c>
      <c r="Q20" s="89" t="inlineStr">
        <is>
          <t>P</t>
        </is>
      </c>
      <c r="R20" s="89" t="inlineStr">
        <is>
          <t>P</t>
        </is>
      </c>
      <c r="S20" s="89" t="inlineStr">
        <is>
          <t>P</t>
        </is>
      </c>
      <c r="T20" s="89" t="inlineStr">
        <is>
          <t>P</t>
        </is>
      </c>
      <c r="U20" s="89" t="inlineStr">
        <is>
          <t>P</t>
        </is>
      </c>
      <c r="V20" s="89" t="inlineStr">
        <is>
          <t>P</t>
        </is>
      </c>
      <c r="W20" s="89" t="inlineStr">
        <is>
          <t>P</t>
        </is>
      </c>
      <c r="X20" s="89" t="inlineStr">
        <is>
          <t>P</t>
        </is>
      </c>
      <c r="Y20" s="89" t="inlineStr">
        <is>
          <t>P</t>
        </is>
      </c>
      <c r="Z20" s="89" t="inlineStr">
        <is>
          <t>P</t>
        </is>
      </c>
      <c r="AA20" s="89" t="inlineStr">
        <is>
          <t>P</t>
        </is>
      </c>
      <c r="AB20" s="89" t="inlineStr">
        <is>
          <t>P</t>
        </is>
      </c>
      <c r="AC20" s="89" t="inlineStr">
        <is>
          <t>P</t>
        </is>
      </c>
      <c r="AD20" s="89" t="inlineStr">
        <is>
          <t>P</t>
        </is>
      </c>
      <c r="AE20" s="89" t="inlineStr">
        <is>
          <t>P</t>
        </is>
      </c>
      <c r="AF20" s="89" t="inlineStr">
        <is>
          <t>P</t>
        </is>
      </c>
      <c r="AG20" s="89" t="inlineStr">
        <is>
          <t>P</t>
        </is>
      </c>
      <c r="AH20" s="89" t="inlineStr">
        <is>
          <t>P</t>
        </is>
      </c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23.45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inlineStr">
        <is>
          <t>P</t>
        </is>
      </c>
      <c r="E21" s="89" t="inlineStr">
        <is>
          <t>P</t>
        </is>
      </c>
      <c r="F21" s="89" t="inlineStr">
        <is>
          <t>P</t>
        </is>
      </c>
      <c r="G21" s="89" t="inlineStr">
        <is>
          <t>P</t>
        </is>
      </c>
      <c r="H21" s="89" t="inlineStr">
        <is>
          <t>P</t>
        </is>
      </c>
      <c r="I21" s="89" t="inlineStr">
        <is>
          <t>P</t>
        </is>
      </c>
      <c r="J21" s="89" t="inlineStr">
        <is>
          <t>P</t>
        </is>
      </c>
      <c r="K21" s="89" t="inlineStr">
        <is>
          <t>P</t>
        </is>
      </c>
      <c r="L21" s="89" t="inlineStr">
        <is>
          <t>P</t>
        </is>
      </c>
      <c r="M21" s="89" t="inlineStr">
        <is>
          <t>P</t>
        </is>
      </c>
      <c r="N21" s="89" t="inlineStr">
        <is>
          <t>P</t>
        </is>
      </c>
      <c r="O21" s="89" t="inlineStr">
        <is>
          <t>P</t>
        </is>
      </c>
      <c r="P21" s="89" t="inlineStr">
        <is>
          <t>P</t>
        </is>
      </c>
      <c r="Q21" s="89" t="inlineStr">
        <is>
          <t>P</t>
        </is>
      </c>
      <c r="R21" s="121" t="inlineStr">
        <is>
          <t>UA</t>
        </is>
      </c>
      <c r="S21" s="121" t="inlineStr">
        <is>
          <t>UA</t>
        </is>
      </c>
      <c r="T21" s="121" t="inlineStr">
        <is>
          <t>UA</t>
        </is>
      </c>
      <c r="U21" s="121" t="inlineStr">
        <is>
          <t>UA</t>
        </is>
      </c>
      <c r="V21" s="121" t="inlineStr">
        <is>
          <t>UA</t>
        </is>
      </c>
      <c r="W21" s="121" t="inlineStr">
        <is>
          <t>UA</t>
        </is>
      </c>
      <c r="X21" s="121" t="inlineStr">
        <is>
          <t>UA</t>
        </is>
      </c>
      <c r="Y21" s="121" t="inlineStr">
        <is>
          <t>UA</t>
        </is>
      </c>
      <c r="Z21" s="121" t="inlineStr">
        <is>
          <t>UA</t>
        </is>
      </c>
      <c r="AA21" s="121" t="inlineStr">
        <is>
          <t>UA</t>
        </is>
      </c>
      <c r="AB21" s="121" t="inlineStr">
        <is>
          <t>UA</t>
        </is>
      </c>
      <c r="AC21" s="121" t="inlineStr">
        <is>
          <t>UA</t>
        </is>
      </c>
      <c r="AD21" s="121" t="inlineStr">
        <is>
          <t>UA</t>
        </is>
      </c>
      <c r="AE21" s="121" t="inlineStr">
        <is>
          <t>UA</t>
        </is>
      </c>
      <c r="AF21" s="121" t="inlineStr">
        <is>
          <t>UA</t>
        </is>
      </c>
      <c r="AG21" s="121" t="inlineStr">
        <is>
          <t>UA</t>
        </is>
      </c>
      <c r="AH21" s="121" t="inlineStr">
        <is>
          <t>UA</t>
        </is>
      </c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121" t="inlineStr">
        <is>
          <t>UA</t>
        </is>
      </c>
      <c r="E22" s="121" t="inlineStr">
        <is>
          <t>UA</t>
        </is>
      </c>
      <c r="F22" s="121" t="inlineStr">
        <is>
          <t>UA</t>
        </is>
      </c>
      <c r="G22" s="121" t="inlineStr">
        <is>
          <t>UA</t>
        </is>
      </c>
      <c r="H22" s="121" t="inlineStr">
        <is>
          <t>UA</t>
        </is>
      </c>
      <c r="I22" s="121" t="inlineStr">
        <is>
          <t>UA</t>
        </is>
      </c>
      <c r="J22" s="121" t="inlineStr">
        <is>
          <t>UA</t>
        </is>
      </c>
      <c r="K22" s="121" t="inlineStr">
        <is>
          <t>UA</t>
        </is>
      </c>
      <c r="L22" s="121" t="inlineStr">
        <is>
          <t>UA</t>
        </is>
      </c>
      <c r="M22" s="121" t="inlineStr">
        <is>
          <t>UA</t>
        </is>
      </c>
      <c r="N22" s="121" t="inlineStr">
        <is>
          <t>UA</t>
        </is>
      </c>
      <c r="O22" s="121" t="inlineStr">
        <is>
          <t>UA</t>
        </is>
      </c>
      <c r="P22" s="121" t="inlineStr">
        <is>
          <t>UA</t>
        </is>
      </c>
      <c r="Q22" s="121" t="inlineStr">
        <is>
          <t>UA</t>
        </is>
      </c>
      <c r="R22" s="121" t="inlineStr">
        <is>
          <t>UA</t>
        </is>
      </c>
      <c r="S22" s="121" t="inlineStr">
        <is>
          <t>UA</t>
        </is>
      </c>
      <c r="T22" s="121" t="inlineStr">
        <is>
          <t>UA</t>
        </is>
      </c>
      <c r="U22" s="121" t="inlineStr">
        <is>
          <t>UA</t>
        </is>
      </c>
      <c r="V22" s="121" t="inlineStr">
        <is>
          <t>UA</t>
        </is>
      </c>
      <c r="W22" s="121" t="inlineStr">
        <is>
          <t>UA</t>
        </is>
      </c>
      <c r="X22" s="121" t="inlineStr">
        <is>
          <t>UA</t>
        </is>
      </c>
      <c r="Y22" s="121" t="inlineStr">
        <is>
          <t>UA</t>
        </is>
      </c>
      <c r="Z22" s="121" t="inlineStr">
        <is>
          <t>UA</t>
        </is>
      </c>
      <c r="AA22" s="121" t="inlineStr">
        <is>
          <t>UA</t>
        </is>
      </c>
      <c r="AB22" s="121" t="inlineStr">
        <is>
          <t>UA</t>
        </is>
      </c>
      <c r="AC22" s="121" t="inlineStr">
        <is>
          <t>UA</t>
        </is>
      </c>
      <c r="AD22" s="121" t="inlineStr">
        <is>
          <t>UA</t>
        </is>
      </c>
      <c r="AE22" s="89" t="inlineStr">
        <is>
          <t>P</t>
        </is>
      </c>
      <c r="AF22" s="89" t="inlineStr">
        <is>
          <t>P</t>
        </is>
      </c>
      <c r="AG22" s="89" t="inlineStr">
        <is>
          <t>P</t>
        </is>
      </c>
      <c r="AH22" s="89" t="inlineStr">
        <is>
          <t>P</t>
        </is>
      </c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inlineStr">
        <is>
          <t>P</t>
        </is>
      </c>
      <c r="E23" s="121" t="inlineStr">
        <is>
          <t>UA</t>
        </is>
      </c>
      <c r="F23" s="121" t="inlineStr">
        <is>
          <t>UA</t>
        </is>
      </c>
      <c r="G23" s="121" t="inlineStr">
        <is>
          <t>UA</t>
        </is>
      </c>
      <c r="H23" s="121" t="inlineStr">
        <is>
          <t>UA</t>
        </is>
      </c>
      <c r="I23" s="121" t="inlineStr">
        <is>
          <t>UA</t>
        </is>
      </c>
      <c r="J23" s="121" t="inlineStr">
        <is>
          <t>UA</t>
        </is>
      </c>
      <c r="K23" s="89" t="inlineStr">
        <is>
          <t>P</t>
        </is>
      </c>
      <c r="L23" s="89" t="inlineStr">
        <is>
          <t>P</t>
        </is>
      </c>
      <c r="M23" s="89" t="inlineStr">
        <is>
          <t>P</t>
        </is>
      </c>
      <c r="N23" s="89" t="inlineStr">
        <is>
          <t>P</t>
        </is>
      </c>
      <c r="O23" s="89" t="inlineStr">
        <is>
          <t>P</t>
        </is>
      </c>
      <c r="P23" s="89" t="inlineStr">
        <is>
          <t>P</t>
        </is>
      </c>
      <c r="Q23" s="89" t="inlineStr">
        <is>
          <t>P</t>
        </is>
      </c>
      <c r="R23" s="89" t="inlineStr">
        <is>
          <t>P</t>
        </is>
      </c>
      <c r="S23" s="89" t="inlineStr">
        <is>
          <t>P</t>
        </is>
      </c>
      <c r="T23" s="89" t="inlineStr">
        <is>
          <t>P</t>
        </is>
      </c>
      <c r="U23" s="89" t="inlineStr">
        <is>
          <t>P</t>
        </is>
      </c>
      <c r="V23" s="89" t="inlineStr">
        <is>
          <t>P</t>
        </is>
      </c>
      <c r="W23" s="89" t="inlineStr">
        <is>
          <t>P</t>
        </is>
      </c>
      <c r="X23" s="89" t="inlineStr">
        <is>
          <t>P</t>
        </is>
      </c>
      <c r="Y23" s="89" t="inlineStr">
        <is>
          <t>P</t>
        </is>
      </c>
      <c r="Z23" s="89" t="inlineStr">
        <is>
          <t>P</t>
        </is>
      </c>
      <c r="AA23" s="89" t="inlineStr">
        <is>
          <t>P</t>
        </is>
      </c>
      <c r="AB23" s="89" t="inlineStr">
        <is>
          <t>P</t>
        </is>
      </c>
      <c r="AC23" s="89" t="inlineStr">
        <is>
          <t>P</t>
        </is>
      </c>
      <c r="AD23" s="89" t="inlineStr">
        <is>
          <t>P</t>
        </is>
      </c>
      <c r="AE23" s="89" t="inlineStr">
        <is>
          <t>P</t>
        </is>
      </c>
      <c r="AF23" s="89" t="inlineStr">
        <is>
          <t>P</t>
        </is>
      </c>
      <c r="AG23" s="89" t="inlineStr">
        <is>
          <t>P</t>
        </is>
      </c>
      <c r="AH23" s="89" t="inlineStr">
        <is>
          <t>P</t>
        </is>
      </c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inlineStr">
        <is>
          <t>P</t>
        </is>
      </c>
      <c r="E24" s="89" t="inlineStr">
        <is>
          <t>P</t>
        </is>
      </c>
      <c r="F24" s="89" t="inlineStr">
        <is>
          <t>P</t>
        </is>
      </c>
      <c r="G24" s="89" t="inlineStr">
        <is>
          <t>P</t>
        </is>
      </c>
      <c r="H24" s="89" t="inlineStr">
        <is>
          <t>P</t>
        </is>
      </c>
      <c r="I24" s="89" t="inlineStr">
        <is>
          <t>P</t>
        </is>
      </c>
      <c r="J24" s="89" t="inlineStr">
        <is>
          <t>P</t>
        </is>
      </c>
      <c r="K24" s="89" t="inlineStr">
        <is>
          <t>P</t>
        </is>
      </c>
      <c r="L24" s="89" t="inlineStr">
        <is>
          <t>P</t>
        </is>
      </c>
      <c r="M24" s="89" t="inlineStr">
        <is>
          <t>P</t>
        </is>
      </c>
      <c r="N24" s="89" t="inlineStr">
        <is>
          <t>P</t>
        </is>
      </c>
      <c r="O24" s="89" t="inlineStr">
        <is>
          <t>P</t>
        </is>
      </c>
      <c r="P24" s="89" t="inlineStr">
        <is>
          <t>P</t>
        </is>
      </c>
      <c r="Q24" s="89" t="inlineStr">
        <is>
          <t>P</t>
        </is>
      </c>
      <c r="R24" s="89" t="inlineStr">
        <is>
          <t>P</t>
        </is>
      </c>
      <c r="S24" s="89" t="inlineStr">
        <is>
          <t>P</t>
        </is>
      </c>
      <c r="T24" s="89" t="inlineStr">
        <is>
          <t>P</t>
        </is>
      </c>
      <c r="U24" s="89" t="inlineStr">
        <is>
          <t>P</t>
        </is>
      </c>
      <c r="V24" s="89" t="inlineStr">
        <is>
          <t>P</t>
        </is>
      </c>
      <c r="W24" s="89" t="inlineStr">
        <is>
          <t>P</t>
        </is>
      </c>
      <c r="X24" s="89" t="inlineStr">
        <is>
          <t>P</t>
        </is>
      </c>
      <c r="Y24" s="89" t="inlineStr">
        <is>
          <t>P</t>
        </is>
      </c>
      <c r="Z24" s="89" t="inlineStr">
        <is>
          <t>P</t>
        </is>
      </c>
      <c r="AA24" s="89" t="inlineStr">
        <is>
          <t>P</t>
        </is>
      </c>
      <c r="AB24" s="89" t="inlineStr">
        <is>
          <t>P</t>
        </is>
      </c>
      <c r="AC24" s="89" t="inlineStr">
        <is>
          <t>P</t>
        </is>
      </c>
      <c r="AD24" s="89" t="inlineStr">
        <is>
          <t>P</t>
        </is>
      </c>
      <c r="AE24" s="89" t="inlineStr">
        <is>
          <t>P</t>
        </is>
      </c>
      <c r="AF24" s="89" t="inlineStr">
        <is>
          <t>P</t>
        </is>
      </c>
      <c r="AG24" s="89" t="inlineStr">
        <is>
          <t>P</t>
        </is>
      </c>
      <c r="AH24" s="89" t="inlineStr">
        <is>
          <t>P</t>
        </is>
      </c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inlineStr">
        <is>
          <t>P</t>
        </is>
      </c>
      <c r="E25" s="89" t="inlineStr">
        <is>
          <t>P</t>
        </is>
      </c>
      <c r="F25" s="89" t="inlineStr">
        <is>
          <t>P</t>
        </is>
      </c>
      <c r="G25" s="89" t="inlineStr">
        <is>
          <t>P</t>
        </is>
      </c>
      <c r="H25" s="89" t="inlineStr">
        <is>
          <t>P</t>
        </is>
      </c>
      <c r="I25" s="89" t="inlineStr">
        <is>
          <t>P</t>
        </is>
      </c>
      <c r="J25" s="89" t="inlineStr">
        <is>
          <t>P</t>
        </is>
      </c>
      <c r="K25" s="89" t="inlineStr">
        <is>
          <t>P</t>
        </is>
      </c>
      <c r="L25" s="89" t="inlineStr">
        <is>
          <t>P</t>
        </is>
      </c>
      <c r="M25" s="89" t="inlineStr">
        <is>
          <t>P</t>
        </is>
      </c>
      <c r="N25" s="89" t="inlineStr">
        <is>
          <t>P</t>
        </is>
      </c>
      <c r="O25" s="89" t="inlineStr">
        <is>
          <t>P</t>
        </is>
      </c>
      <c r="P25" s="89" t="inlineStr">
        <is>
          <t>P</t>
        </is>
      </c>
      <c r="Q25" s="89" t="inlineStr">
        <is>
          <t>P</t>
        </is>
      </c>
      <c r="R25" s="89" t="inlineStr">
        <is>
          <t>P</t>
        </is>
      </c>
      <c r="S25" s="89" t="inlineStr">
        <is>
          <t>P</t>
        </is>
      </c>
      <c r="T25" s="89" t="inlineStr">
        <is>
          <t>P</t>
        </is>
      </c>
      <c r="U25" s="89" t="inlineStr">
        <is>
          <t>P</t>
        </is>
      </c>
      <c r="V25" s="89" t="inlineStr">
        <is>
          <t>P</t>
        </is>
      </c>
      <c r="W25" s="89" t="inlineStr">
        <is>
          <t>P</t>
        </is>
      </c>
      <c r="X25" s="89" t="inlineStr">
        <is>
          <t>P</t>
        </is>
      </c>
      <c r="Y25" s="89" t="inlineStr">
        <is>
          <t>P</t>
        </is>
      </c>
      <c r="Z25" s="89" t="inlineStr">
        <is>
          <t>P</t>
        </is>
      </c>
      <c r="AA25" s="89" t="inlineStr">
        <is>
          <t>P</t>
        </is>
      </c>
      <c r="AB25" s="89" t="inlineStr">
        <is>
          <t>P</t>
        </is>
      </c>
      <c r="AC25" s="89" t="inlineStr">
        <is>
          <t>P</t>
        </is>
      </c>
      <c r="AD25" s="89" t="inlineStr">
        <is>
          <t>P</t>
        </is>
      </c>
      <c r="AE25" s="89" t="inlineStr">
        <is>
          <t>P</t>
        </is>
      </c>
      <c r="AF25" s="89" t="inlineStr">
        <is>
          <t>P</t>
        </is>
      </c>
      <c r="AG25" s="121" t="inlineStr">
        <is>
          <t>UA</t>
        </is>
      </c>
      <c r="AH25" s="89" t="inlineStr">
        <is>
          <t>P</t>
        </is>
      </c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inlineStr">
        <is>
          <t>P</t>
        </is>
      </c>
      <c r="E26" s="89" t="inlineStr">
        <is>
          <t>P</t>
        </is>
      </c>
      <c r="F26" s="89" t="inlineStr">
        <is>
          <t>P</t>
        </is>
      </c>
      <c r="G26" s="89" t="inlineStr">
        <is>
          <t>P</t>
        </is>
      </c>
      <c r="H26" s="89" t="inlineStr">
        <is>
          <t>P</t>
        </is>
      </c>
      <c r="I26" s="89" t="inlineStr">
        <is>
          <t>P</t>
        </is>
      </c>
      <c r="J26" s="89" t="inlineStr">
        <is>
          <t>P</t>
        </is>
      </c>
      <c r="K26" s="89" t="inlineStr">
        <is>
          <t>P</t>
        </is>
      </c>
      <c r="L26" s="89" t="inlineStr">
        <is>
          <t>P</t>
        </is>
      </c>
      <c r="M26" s="89" t="inlineStr">
        <is>
          <t>P</t>
        </is>
      </c>
      <c r="N26" s="89" t="inlineStr">
        <is>
          <t>P</t>
        </is>
      </c>
      <c r="O26" s="89" t="inlineStr">
        <is>
          <t>P</t>
        </is>
      </c>
      <c r="P26" s="89" t="inlineStr">
        <is>
          <t>P</t>
        </is>
      </c>
      <c r="Q26" s="89" t="inlineStr">
        <is>
          <t>P</t>
        </is>
      </c>
      <c r="R26" s="89" t="inlineStr">
        <is>
          <t>P</t>
        </is>
      </c>
      <c r="S26" s="89" t="inlineStr">
        <is>
          <t>P</t>
        </is>
      </c>
      <c r="T26" s="89" t="inlineStr">
        <is>
          <t>P</t>
        </is>
      </c>
      <c r="U26" s="89" t="inlineStr">
        <is>
          <t>P</t>
        </is>
      </c>
      <c r="V26" s="89" t="inlineStr">
        <is>
          <t>P</t>
        </is>
      </c>
      <c r="W26" s="89" t="inlineStr">
        <is>
          <t>P</t>
        </is>
      </c>
      <c r="X26" s="89" t="inlineStr">
        <is>
          <t>P</t>
        </is>
      </c>
      <c r="Y26" s="89" t="inlineStr">
        <is>
          <t>P</t>
        </is>
      </c>
      <c r="Z26" s="89" t="inlineStr">
        <is>
          <t>P</t>
        </is>
      </c>
      <c r="AA26" s="89" t="inlineStr">
        <is>
          <t>P</t>
        </is>
      </c>
      <c r="AB26" s="89" t="inlineStr">
        <is>
          <t>P</t>
        </is>
      </c>
      <c r="AC26" s="89" t="inlineStr">
        <is>
          <t>P</t>
        </is>
      </c>
      <c r="AD26" s="89" t="inlineStr">
        <is>
          <t>P</t>
        </is>
      </c>
      <c r="AE26" s="89" t="inlineStr">
        <is>
          <t>P</t>
        </is>
      </c>
      <c r="AF26" s="89" t="inlineStr">
        <is>
          <t>P</t>
        </is>
      </c>
      <c r="AG26" s="89" t="inlineStr">
        <is>
          <t>P</t>
        </is>
      </c>
      <c r="AH26" s="89" t="inlineStr">
        <is>
          <t>P</t>
        </is>
      </c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inlineStr">
        <is>
          <t>P</t>
        </is>
      </c>
      <c r="E27" s="89" t="inlineStr">
        <is>
          <t>P</t>
        </is>
      </c>
      <c r="F27" s="89" t="inlineStr">
        <is>
          <t>P</t>
        </is>
      </c>
      <c r="G27" s="89" t="inlineStr">
        <is>
          <t>P</t>
        </is>
      </c>
      <c r="H27" s="89" t="inlineStr">
        <is>
          <t>P</t>
        </is>
      </c>
      <c r="I27" s="89" t="inlineStr">
        <is>
          <t>P</t>
        </is>
      </c>
      <c r="J27" s="89" t="inlineStr">
        <is>
          <t>P</t>
        </is>
      </c>
      <c r="K27" s="89" t="inlineStr">
        <is>
          <t>P</t>
        </is>
      </c>
      <c r="L27" s="89" t="inlineStr">
        <is>
          <t>P</t>
        </is>
      </c>
      <c r="M27" s="89" t="inlineStr">
        <is>
          <t>P</t>
        </is>
      </c>
      <c r="N27" s="89" t="inlineStr">
        <is>
          <t>P</t>
        </is>
      </c>
      <c r="O27" s="89" t="inlineStr">
        <is>
          <t>P</t>
        </is>
      </c>
      <c r="P27" s="89" t="inlineStr">
        <is>
          <t>P</t>
        </is>
      </c>
      <c r="Q27" s="89" t="inlineStr">
        <is>
          <t>P</t>
        </is>
      </c>
      <c r="R27" s="89" t="inlineStr">
        <is>
          <t>P</t>
        </is>
      </c>
      <c r="S27" s="89" t="inlineStr">
        <is>
          <t>P</t>
        </is>
      </c>
      <c r="T27" s="89" t="inlineStr">
        <is>
          <t>P</t>
        </is>
      </c>
      <c r="U27" s="89" t="inlineStr">
        <is>
          <t>P</t>
        </is>
      </c>
      <c r="V27" s="121" t="inlineStr">
        <is>
          <t>UA</t>
        </is>
      </c>
      <c r="W27" s="121" t="inlineStr">
        <is>
          <t>UA</t>
        </is>
      </c>
      <c r="X27" s="121" t="inlineStr">
        <is>
          <t>UA</t>
        </is>
      </c>
      <c r="Y27" s="121" t="inlineStr">
        <is>
          <t>UA</t>
        </is>
      </c>
      <c r="Z27" s="121" t="inlineStr">
        <is>
          <t>UA</t>
        </is>
      </c>
      <c r="AA27" s="121" t="inlineStr">
        <is>
          <t>UA</t>
        </is>
      </c>
      <c r="AB27" s="121" t="inlineStr">
        <is>
          <t>UA</t>
        </is>
      </c>
      <c r="AC27" s="121" t="inlineStr">
        <is>
          <t>UA</t>
        </is>
      </c>
      <c r="AD27" s="89" t="inlineStr">
        <is>
          <t>P</t>
        </is>
      </c>
      <c r="AE27" s="89" t="inlineStr">
        <is>
          <t>P</t>
        </is>
      </c>
      <c r="AF27" s="89" t="inlineStr">
        <is>
          <t>P</t>
        </is>
      </c>
      <c r="AG27" s="89" t="inlineStr">
        <is>
          <t>P</t>
        </is>
      </c>
      <c r="AH27" s="89" t="inlineStr">
        <is>
          <t>P</t>
        </is>
      </c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inlineStr">
        <is>
          <t>P</t>
        </is>
      </c>
      <c r="E28" s="89" t="inlineStr">
        <is>
          <t>P</t>
        </is>
      </c>
      <c r="F28" s="89" t="inlineStr">
        <is>
          <t>P</t>
        </is>
      </c>
      <c r="G28" s="89" t="inlineStr">
        <is>
          <t>P</t>
        </is>
      </c>
      <c r="H28" s="89" t="inlineStr">
        <is>
          <t>P</t>
        </is>
      </c>
      <c r="I28" s="89" t="inlineStr">
        <is>
          <t>P</t>
        </is>
      </c>
      <c r="J28" s="121" t="inlineStr">
        <is>
          <t>UA</t>
        </is>
      </c>
      <c r="K28" s="89" t="inlineStr">
        <is>
          <t>P</t>
        </is>
      </c>
      <c r="L28" s="89" t="inlineStr">
        <is>
          <t>P</t>
        </is>
      </c>
      <c r="M28" s="89" t="inlineStr">
        <is>
          <t>P</t>
        </is>
      </c>
      <c r="N28" s="89" t="inlineStr">
        <is>
          <t>P</t>
        </is>
      </c>
      <c r="O28" s="89" t="inlineStr">
        <is>
          <t>P</t>
        </is>
      </c>
      <c r="P28" s="89" t="inlineStr">
        <is>
          <t>P</t>
        </is>
      </c>
      <c r="Q28" s="89" t="inlineStr">
        <is>
          <t>P</t>
        </is>
      </c>
      <c r="R28" s="89" t="inlineStr">
        <is>
          <t>P</t>
        </is>
      </c>
      <c r="S28" s="89" t="inlineStr">
        <is>
          <t>P</t>
        </is>
      </c>
      <c r="T28" s="89" t="inlineStr">
        <is>
          <t>P</t>
        </is>
      </c>
      <c r="U28" s="89" t="inlineStr">
        <is>
          <t>P</t>
        </is>
      </c>
      <c r="V28" s="89" t="inlineStr">
        <is>
          <t>P</t>
        </is>
      </c>
      <c r="W28" s="89" t="inlineStr">
        <is>
          <t>P</t>
        </is>
      </c>
      <c r="X28" s="89" t="inlineStr">
        <is>
          <t>P</t>
        </is>
      </c>
      <c r="Y28" s="89" t="inlineStr">
        <is>
          <t>P</t>
        </is>
      </c>
      <c r="Z28" s="89" t="inlineStr">
        <is>
          <t>P</t>
        </is>
      </c>
      <c r="AA28" s="89" t="inlineStr">
        <is>
          <t>P</t>
        </is>
      </c>
      <c r="AB28" s="89" t="inlineStr">
        <is>
          <t>P</t>
        </is>
      </c>
      <c r="AC28" s="89" t="inlineStr">
        <is>
          <t>P</t>
        </is>
      </c>
      <c r="AD28" s="89" t="inlineStr">
        <is>
          <t>P</t>
        </is>
      </c>
      <c r="AE28" s="89" t="inlineStr">
        <is>
          <t>P</t>
        </is>
      </c>
      <c r="AF28" s="89" t="inlineStr">
        <is>
          <t>P</t>
        </is>
      </c>
      <c r="AG28" s="89" t="inlineStr">
        <is>
          <t>P</t>
        </is>
      </c>
      <c r="AH28" s="89" t="inlineStr">
        <is>
          <t>P</t>
        </is>
      </c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121" t="inlineStr">
        <is>
          <t>UA</t>
        </is>
      </c>
      <c r="E29" s="121" t="inlineStr">
        <is>
          <t>UA</t>
        </is>
      </c>
      <c r="F29" s="121" t="inlineStr">
        <is>
          <t>UA</t>
        </is>
      </c>
      <c r="G29" s="121" t="inlineStr">
        <is>
          <t>UA</t>
        </is>
      </c>
      <c r="H29" s="89" t="inlineStr">
        <is>
          <t>P</t>
        </is>
      </c>
      <c r="I29" s="89" t="inlineStr">
        <is>
          <t>P</t>
        </is>
      </c>
      <c r="J29" s="89" t="inlineStr">
        <is>
          <t>P</t>
        </is>
      </c>
      <c r="K29" s="89" t="inlineStr">
        <is>
          <t>P</t>
        </is>
      </c>
      <c r="L29" s="89" t="inlineStr">
        <is>
          <t>P</t>
        </is>
      </c>
      <c r="M29" s="89" t="inlineStr">
        <is>
          <t>P</t>
        </is>
      </c>
      <c r="N29" s="89" t="inlineStr">
        <is>
          <t>P</t>
        </is>
      </c>
      <c r="O29" s="89" t="inlineStr">
        <is>
          <t>P</t>
        </is>
      </c>
      <c r="P29" s="89" t="inlineStr">
        <is>
          <t>P</t>
        </is>
      </c>
      <c r="Q29" s="89" t="inlineStr">
        <is>
          <t>P</t>
        </is>
      </c>
      <c r="R29" s="89" t="inlineStr">
        <is>
          <t>P</t>
        </is>
      </c>
      <c r="S29" s="89" t="inlineStr">
        <is>
          <t>P</t>
        </is>
      </c>
      <c r="T29" s="89" t="inlineStr">
        <is>
          <t>P</t>
        </is>
      </c>
      <c r="U29" s="89" t="inlineStr">
        <is>
          <t>P</t>
        </is>
      </c>
      <c r="V29" s="89" t="inlineStr">
        <is>
          <t>P</t>
        </is>
      </c>
      <c r="W29" s="89" t="inlineStr">
        <is>
          <t>P</t>
        </is>
      </c>
      <c r="X29" s="89" t="inlineStr">
        <is>
          <t>P</t>
        </is>
      </c>
      <c r="Y29" s="89" t="inlineStr">
        <is>
          <t>P</t>
        </is>
      </c>
      <c r="Z29" s="89" t="inlineStr">
        <is>
          <t>P</t>
        </is>
      </c>
      <c r="AA29" s="89" t="inlineStr">
        <is>
          <t>P</t>
        </is>
      </c>
      <c r="AB29" s="89" t="inlineStr">
        <is>
          <t>P</t>
        </is>
      </c>
      <c r="AC29" s="89" t="inlineStr">
        <is>
          <t>P</t>
        </is>
      </c>
      <c r="AD29" s="89" t="inlineStr">
        <is>
          <t>P</t>
        </is>
      </c>
      <c r="AE29" s="89" t="inlineStr">
        <is>
          <t>P</t>
        </is>
      </c>
      <c r="AF29" s="89" t="inlineStr">
        <is>
          <t>P</t>
        </is>
      </c>
      <c r="AG29" s="89" t="inlineStr">
        <is>
          <t>P</t>
        </is>
      </c>
      <c r="AH29" s="89" t="inlineStr">
        <is>
          <t>P</t>
        </is>
      </c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inlineStr">
        <is>
          <t>P</t>
        </is>
      </c>
      <c r="E30" s="121" t="inlineStr">
        <is>
          <t>UA</t>
        </is>
      </c>
      <c r="F30" s="89" t="inlineStr">
        <is>
          <t>P</t>
        </is>
      </c>
      <c r="G30" s="89" t="inlineStr">
        <is>
          <t>P</t>
        </is>
      </c>
      <c r="H30" s="89" t="inlineStr">
        <is>
          <t>P</t>
        </is>
      </c>
      <c r="I30" s="89" t="inlineStr">
        <is>
          <t>P</t>
        </is>
      </c>
      <c r="J30" s="89" t="inlineStr">
        <is>
          <t>P</t>
        </is>
      </c>
      <c r="K30" s="89" t="inlineStr">
        <is>
          <t>P</t>
        </is>
      </c>
      <c r="L30" s="89" t="inlineStr">
        <is>
          <t>P</t>
        </is>
      </c>
      <c r="M30" s="89" t="inlineStr">
        <is>
          <t>P</t>
        </is>
      </c>
      <c r="N30" s="89" t="inlineStr">
        <is>
          <t>P</t>
        </is>
      </c>
      <c r="O30" s="89" t="inlineStr">
        <is>
          <t>P</t>
        </is>
      </c>
      <c r="P30" s="89" t="inlineStr">
        <is>
          <t>P</t>
        </is>
      </c>
      <c r="Q30" s="89" t="inlineStr">
        <is>
          <t>P</t>
        </is>
      </c>
      <c r="R30" s="89" t="inlineStr">
        <is>
          <t>P</t>
        </is>
      </c>
      <c r="S30" s="89" t="inlineStr">
        <is>
          <t>P</t>
        </is>
      </c>
      <c r="T30" s="89" t="inlineStr">
        <is>
          <t>P</t>
        </is>
      </c>
      <c r="U30" s="89" t="inlineStr">
        <is>
          <t>P</t>
        </is>
      </c>
      <c r="V30" s="89" t="inlineStr">
        <is>
          <t>P</t>
        </is>
      </c>
      <c r="W30" s="89" t="inlineStr">
        <is>
          <t>P</t>
        </is>
      </c>
      <c r="X30" s="89" t="inlineStr">
        <is>
          <t>P</t>
        </is>
      </c>
      <c r="Y30" s="89" t="inlineStr">
        <is>
          <t>P</t>
        </is>
      </c>
      <c r="Z30" s="89" t="inlineStr">
        <is>
          <t>P</t>
        </is>
      </c>
      <c r="AA30" s="89" t="inlineStr">
        <is>
          <t>P</t>
        </is>
      </c>
      <c r="AB30" s="89" t="inlineStr">
        <is>
          <t>P</t>
        </is>
      </c>
      <c r="AC30" s="89" t="inlineStr">
        <is>
          <t>P</t>
        </is>
      </c>
      <c r="AD30" s="89" t="inlineStr">
        <is>
          <t>P</t>
        </is>
      </c>
      <c r="AE30" s="89" t="inlineStr">
        <is>
          <t>P</t>
        </is>
      </c>
      <c r="AF30" s="89" t="inlineStr">
        <is>
          <t>P</t>
        </is>
      </c>
      <c r="AG30" s="89" t="inlineStr">
        <is>
          <t>P</t>
        </is>
      </c>
      <c r="AH30" s="89" t="inlineStr">
        <is>
          <t>P</t>
        </is>
      </c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121" t="inlineStr">
        <is>
          <t>UA</t>
        </is>
      </c>
      <c r="E31" s="121" t="inlineStr">
        <is>
          <t>UA</t>
        </is>
      </c>
      <c r="F31" s="121" t="inlineStr">
        <is>
          <t>UA</t>
        </is>
      </c>
      <c r="G31" s="121" t="inlineStr">
        <is>
          <t>UA</t>
        </is>
      </c>
      <c r="H31" s="89" t="inlineStr">
        <is>
          <t>P</t>
        </is>
      </c>
      <c r="I31" s="89" t="inlineStr">
        <is>
          <t>P</t>
        </is>
      </c>
      <c r="J31" s="89" t="inlineStr">
        <is>
          <t>P</t>
        </is>
      </c>
      <c r="K31" s="89" t="inlineStr">
        <is>
          <t>P</t>
        </is>
      </c>
      <c r="L31" s="89" t="inlineStr">
        <is>
          <t>P</t>
        </is>
      </c>
      <c r="M31" s="89" t="inlineStr">
        <is>
          <t>P</t>
        </is>
      </c>
      <c r="N31" s="89" t="inlineStr">
        <is>
          <t>P</t>
        </is>
      </c>
      <c r="O31" s="89" t="inlineStr">
        <is>
          <t>P</t>
        </is>
      </c>
      <c r="P31" s="89" t="inlineStr">
        <is>
          <t>P</t>
        </is>
      </c>
      <c r="Q31" s="89" t="inlineStr">
        <is>
          <t>P</t>
        </is>
      </c>
      <c r="R31" s="89" t="inlineStr">
        <is>
          <t>P</t>
        </is>
      </c>
      <c r="S31" s="89" t="inlineStr">
        <is>
          <t>P</t>
        </is>
      </c>
      <c r="T31" s="89" t="inlineStr">
        <is>
          <t>P</t>
        </is>
      </c>
      <c r="U31" s="89" t="inlineStr">
        <is>
          <t>P</t>
        </is>
      </c>
      <c r="V31" s="121" t="inlineStr">
        <is>
          <t>UA</t>
        </is>
      </c>
      <c r="W31" s="121" t="inlineStr">
        <is>
          <t>UA</t>
        </is>
      </c>
      <c r="X31" s="121" t="inlineStr">
        <is>
          <t>UA</t>
        </is>
      </c>
      <c r="Y31" s="121" t="inlineStr">
        <is>
          <t>UA</t>
        </is>
      </c>
      <c r="Z31" s="121" t="inlineStr">
        <is>
          <t>UA</t>
        </is>
      </c>
      <c r="AA31" s="89" t="inlineStr">
        <is>
          <t>P</t>
        </is>
      </c>
      <c r="AB31" s="89" t="inlineStr">
        <is>
          <t>P</t>
        </is>
      </c>
      <c r="AC31" s="89" t="inlineStr">
        <is>
          <t>P</t>
        </is>
      </c>
      <c r="AD31" s="89" t="inlineStr">
        <is>
          <t>P</t>
        </is>
      </c>
      <c r="AE31" s="89" t="inlineStr">
        <is>
          <t>P</t>
        </is>
      </c>
      <c r="AF31" s="121" t="inlineStr">
        <is>
          <t>UA</t>
        </is>
      </c>
      <c r="AG31" s="89" t="inlineStr">
        <is>
          <t>P</t>
        </is>
      </c>
      <c r="AH31" s="89" t="inlineStr">
        <is>
          <t>P</t>
        </is>
      </c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121" t="inlineStr">
        <is>
          <t>UA</t>
        </is>
      </c>
      <c r="E32" s="121" t="inlineStr">
        <is>
          <t>UA</t>
        </is>
      </c>
      <c r="F32" s="121" t="inlineStr">
        <is>
          <t>UA</t>
        </is>
      </c>
      <c r="G32" s="121" t="inlineStr">
        <is>
          <t>UA</t>
        </is>
      </c>
      <c r="H32" s="121" t="inlineStr">
        <is>
          <t>UA</t>
        </is>
      </c>
      <c r="I32" s="121" t="inlineStr">
        <is>
          <t>UA</t>
        </is>
      </c>
      <c r="J32" s="121" t="inlineStr">
        <is>
          <t>UA</t>
        </is>
      </c>
      <c r="K32" s="121" t="inlineStr">
        <is>
          <t>UA</t>
        </is>
      </c>
      <c r="L32" s="121" t="inlineStr">
        <is>
          <t>UA</t>
        </is>
      </c>
      <c r="M32" s="121" t="inlineStr">
        <is>
          <t>UA</t>
        </is>
      </c>
      <c r="N32" s="121" t="inlineStr">
        <is>
          <t>UA</t>
        </is>
      </c>
      <c r="O32" s="121" t="inlineStr">
        <is>
          <t>UA</t>
        </is>
      </c>
      <c r="P32" s="121" t="inlineStr">
        <is>
          <t>UA</t>
        </is>
      </c>
      <c r="Q32" s="121" t="inlineStr">
        <is>
          <t>UA</t>
        </is>
      </c>
      <c r="R32" s="121" t="inlineStr">
        <is>
          <t>UA</t>
        </is>
      </c>
      <c r="S32" s="121" t="inlineStr">
        <is>
          <t>UA</t>
        </is>
      </c>
      <c r="T32" s="121" t="inlineStr">
        <is>
          <t>UA</t>
        </is>
      </c>
      <c r="U32" s="121" t="inlineStr">
        <is>
          <t>UA</t>
        </is>
      </c>
      <c r="V32" s="89" t="inlineStr">
        <is>
          <t>P</t>
        </is>
      </c>
      <c r="W32" s="89" t="inlineStr">
        <is>
          <t>P</t>
        </is>
      </c>
      <c r="X32" s="89" t="inlineStr">
        <is>
          <t>P</t>
        </is>
      </c>
      <c r="Y32" s="89" t="inlineStr">
        <is>
          <t>P</t>
        </is>
      </c>
      <c r="Z32" s="89" t="inlineStr">
        <is>
          <t>P</t>
        </is>
      </c>
      <c r="AA32" s="89" t="inlineStr">
        <is>
          <t>P</t>
        </is>
      </c>
      <c r="AB32" s="89" t="inlineStr">
        <is>
          <t>P</t>
        </is>
      </c>
      <c r="AC32" s="89" t="inlineStr">
        <is>
          <t>P</t>
        </is>
      </c>
      <c r="AD32" s="89" t="inlineStr">
        <is>
          <t>P</t>
        </is>
      </c>
      <c r="AE32" s="89" t="inlineStr">
        <is>
          <t>P</t>
        </is>
      </c>
      <c r="AF32" s="89" t="inlineStr">
        <is>
          <t>P</t>
        </is>
      </c>
      <c r="AG32" s="89" t="inlineStr">
        <is>
          <t>P</t>
        </is>
      </c>
      <c r="AH32" s="89" t="inlineStr">
        <is>
          <t>P</t>
        </is>
      </c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121" t="inlineStr">
        <is>
          <t>UA</t>
        </is>
      </c>
      <c r="E33" s="121" t="inlineStr">
        <is>
          <t>UA</t>
        </is>
      </c>
      <c r="F33" s="121" t="inlineStr">
        <is>
          <t>UA</t>
        </is>
      </c>
      <c r="G33" s="121" t="inlineStr">
        <is>
          <t>UA</t>
        </is>
      </c>
      <c r="H33" s="121" t="inlineStr">
        <is>
          <t>UA</t>
        </is>
      </c>
      <c r="I33" s="121" t="inlineStr">
        <is>
          <t>UA</t>
        </is>
      </c>
      <c r="J33" s="121" t="inlineStr">
        <is>
          <t>UA</t>
        </is>
      </c>
      <c r="K33" s="121" t="inlineStr">
        <is>
          <t>UA</t>
        </is>
      </c>
      <c r="L33" s="121" t="inlineStr">
        <is>
          <t>UA</t>
        </is>
      </c>
      <c r="M33" s="121" t="inlineStr">
        <is>
          <t>UA</t>
        </is>
      </c>
      <c r="N33" s="121" t="inlineStr">
        <is>
          <t>UA</t>
        </is>
      </c>
      <c r="O33" s="121" t="inlineStr">
        <is>
          <t>UA</t>
        </is>
      </c>
      <c r="P33" s="121" t="inlineStr">
        <is>
          <t>UA</t>
        </is>
      </c>
      <c r="Q33" s="121" t="inlineStr">
        <is>
          <t>UA</t>
        </is>
      </c>
      <c r="R33" s="89" t="inlineStr">
        <is>
          <t>P</t>
        </is>
      </c>
      <c r="S33" s="89" t="inlineStr">
        <is>
          <t>P</t>
        </is>
      </c>
      <c r="T33" s="89" t="inlineStr">
        <is>
          <t>P</t>
        </is>
      </c>
      <c r="U33" s="89" t="inlineStr">
        <is>
          <t>P</t>
        </is>
      </c>
      <c r="V33" s="89" t="inlineStr">
        <is>
          <t>P</t>
        </is>
      </c>
      <c r="W33" s="89" t="inlineStr">
        <is>
          <t>P</t>
        </is>
      </c>
      <c r="X33" s="89" t="inlineStr">
        <is>
          <t>P</t>
        </is>
      </c>
      <c r="Y33" s="89" t="inlineStr">
        <is>
          <t>P</t>
        </is>
      </c>
      <c r="Z33" s="89" t="inlineStr">
        <is>
          <t>P</t>
        </is>
      </c>
      <c r="AA33" s="89" t="inlineStr">
        <is>
          <t>P</t>
        </is>
      </c>
      <c r="AB33" s="89" t="inlineStr">
        <is>
          <t>P</t>
        </is>
      </c>
      <c r="AC33" s="89" t="inlineStr">
        <is>
          <t>P</t>
        </is>
      </c>
      <c r="AD33" s="89" t="inlineStr">
        <is>
          <t>P</t>
        </is>
      </c>
      <c r="AE33" s="89" t="inlineStr">
        <is>
          <t>P</t>
        </is>
      </c>
      <c r="AF33" s="89" t="inlineStr">
        <is>
          <t>P</t>
        </is>
      </c>
      <c r="AG33" s="89" t="inlineStr">
        <is>
          <t>P</t>
        </is>
      </c>
      <c r="AH33" s="89" t="inlineStr">
        <is>
          <t>P</t>
        </is>
      </c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inlineStr">
        <is>
          <t>AA</t>
        </is>
      </c>
      <c r="E34" s="89" t="inlineStr">
        <is>
          <t>AA</t>
        </is>
      </c>
      <c r="F34" s="89" t="inlineStr">
        <is>
          <t>AA</t>
        </is>
      </c>
      <c r="G34" s="89" t="inlineStr">
        <is>
          <t>AA</t>
        </is>
      </c>
      <c r="H34" s="89" t="inlineStr">
        <is>
          <t>AA</t>
        </is>
      </c>
      <c r="I34" s="89" t="inlineStr">
        <is>
          <t>AA</t>
        </is>
      </c>
      <c r="J34" s="89" t="inlineStr">
        <is>
          <t>AA</t>
        </is>
      </c>
      <c r="K34" s="89" t="inlineStr">
        <is>
          <t>AA</t>
        </is>
      </c>
      <c r="L34" s="89" t="inlineStr">
        <is>
          <t>AA</t>
        </is>
      </c>
      <c r="M34" s="89" t="inlineStr">
        <is>
          <t>AA</t>
        </is>
      </c>
      <c r="N34" s="89" t="inlineStr">
        <is>
          <t>AA</t>
        </is>
      </c>
      <c r="O34" s="89" t="inlineStr">
        <is>
          <t>AA</t>
        </is>
      </c>
      <c r="P34" s="89" t="inlineStr">
        <is>
          <t>AA</t>
        </is>
      </c>
      <c r="Q34" s="89" t="inlineStr">
        <is>
          <t>AA</t>
        </is>
      </c>
      <c r="R34" s="89" t="inlineStr">
        <is>
          <t>AA</t>
        </is>
      </c>
      <c r="S34" s="89" t="inlineStr">
        <is>
          <t>AA</t>
        </is>
      </c>
      <c r="T34" s="89" t="inlineStr">
        <is>
          <t>AA</t>
        </is>
      </c>
      <c r="U34" s="89" t="inlineStr">
        <is>
          <t>AA</t>
        </is>
      </c>
      <c r="V34" s="89" t="inlineStr">
        <is>
          <t>AA</t>
        </is>
      </c>
      <c r="W34" s="89" t="inlineStr">
        <is>
          <t>AA</t>
        </is>
      </c>
      <c r="X34" s="89" t="inlineStr">
        <is>
          <t>AA</t>
        </is>
      </c>
      <c r="Y34" s="89" t="inlineStr">
        <is>
          <t>AA</t>
        </is>
      </c>
      <c r="Z34" s="89" t="inlineStr">
        <is>
          <t>AA</t>
        </is>
      </c>
      <c r="AA34" s="89" t="inlineStr">
        <is>
          <t>AA</t>
        </is>
      </c>
      <c r="AB34" s="89" t="inlineStr">
        <is>
          <t>AA</t>
        </is>
      </c>
      <c r="AC34" s="89" t="inlineStr">
        <is>
          <t>AA</t>
        </is>
      </c>
      <c r="AD34" s="89" t="inlineStr">
        <is>
          <t>AA</t>
        </is>
      </c>
      <c r="AE34" s="89" t="inlineStr">
        <is>
          <t>AA</t>
        </is>
      </c>
      <c r="AF34" s="89" t="inlineStr">
        <is>
          <t>AA</t>
        </is>
      </c>
      <c r="AG34" s="89" t="inlineStr">
        <is>
          <t>AA</t>
        </is>
      </c>
      <c r="AH34" s="89" t="inlineStr">
        <is>
          <t>AA</t>
        </is>
      </c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inlineStr">
        <is>
          <t>P</t>
        </is>
      </c>
      <c r="E35" s="89" t="inlineStr">
        <is>
          <t>P</t>
        </is>
      </c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  <c r="M35" s="89" t="inlineStr">
        <is>
          <t>P</t>
        </is>
      </c>
      <c r="N35" s="89" t="inlineStr">
        <is>
          <t>P</t>
        </is>
      </c>
      <c r="O35" s="89" t="inlineStr">
        <is>
          <t>P</t>
        </is>
      </c>
      <c r="P35" s="89" t="inlineStr">
        <is>
          <t>P</t>
        </is>
      </c>
      <c r="Q35" s="89" t="inlineStr">
        <is>
          <t>P</t>
        </is>
      </c>
      <c r="R35" s="89" t="inlineStr">
        <is>
          <t>P</t>
        </is>
      </c>
      <c r="S35" s="89" t="inlineStr">
        <is>
          <t>P</t>
        </is>
      </c>
      <c r="T35" s="89" t="inlineStr">
        <is>
          <t>P</t>
        </is>
      </c>
      <c r="U35" s="89" t="inlineStr">
        <is>
          <t>P</t>
        </is>
      </c>
      <c r="V35" s="89" t="inlineStr">
        <is>
          <t>P</t>
        </is>
      </c>
      <c r="W35" s="89" t="inlineStr">
        <is>
          <t>P</t>
        </is>
      </c>
      <c r="X35" s="89" t="inlineStr">
        <is>
          <t>P</t>
        </is>
      </c>
      <c r="Y35" s="89" t="inlineStr">
        <is>
          <t>P</t>
        </is>
      </c>
      <c r="Z35" s="89" t="inlineStr">
        <is>
          <t>P</t>
        </is>
      </c>
      <c r="AA35" s="89" t="inlineStr">
        <is>
          <t>P</t>
        </is>
      </c>
      <c r="AB35" s="89" t="inlineStr">
        <is>
          <t>P</t>
        </is>
      </c>
      <c r="AC35" s="89" t="inlineStr">
        <is>
          <t>P</t>
        </is>
      </c>
      <c r="AD35" s="89" t="inlineStr">
        <is>
          <t>P</t>
        </is>
      </c>
      <c r="AE35" s="89" t="inlineStr">
        <is>
          <t>P</t>
        </is>
      </c>
      <c r="AF35" s="89" t="inlineStr">
        <is>
          <t>P</t>
        </is>
      </c>
      <c r="AG35" s="89" t="inlineStr">
        <is>
          <t>P</t>
        </is>
      </c>
      <c r="AH35" s="89" t="inlineStr">
        <is>
          <t>P</t>
        </is>
      </c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inlineStr">
        <is>
          <t>P</t>
        </is>
      </c>
      <c r="E36" s="89" t="inlineStr">
        <is>
          <t>P</t>
        </is>
      </c>
      <c r="F36" s="89" t="inlineStr">
        <is>
          <t>P</t>
        </is>
      </c>
      <c r="G36" s="89" t="inlineStr">
        <is>
          <t>P</t>
        </is>
      </c>
      <c r="H36" s="89" t="inlineStr">
        <is>
          <t>P</t>
        </is>
      </c>
      <c r="I36" s="89" t="inlineStr">
        <is>
          <t>P</t>
        </is>
      </c>
      <c r="J36" s="89" t="inlineStr">
        <is>
          <t>P</t>
        </is>
      </c>
      <c r="K36" s="89" t="inlineStr">
        <is>
          <t>P</t>
        </is>
      </c>
      <c r="L36" s="89" t="inlineStr">
        <is>
          <t>P</t>
        </is>
      </c>
      <c r="M36" s="89" t="inlineStr">
        <is>
          <t>P</t>
        </is>
      </c>
      <c r="N36" s="89" t="inlineStr">
        <is>
          <t>P</t>
        </is>
      </c>
      <c r="O36" s="89" t="inlineStr">
        <is>
          <t>P</t>
        </is>
      </c>
      <c r="P36" s="89" t="inlineStr">
        <is>
          <t>P</t>
        </is>
      </c>
      <c r="Q36" s="89" t="inlineStr">
        <is>
          <t>P</t>
        </is>
      </c>
      <c r="R36" s="89" t="inlineStr">
        <is>
          <t>P</t>
        </is>
      </c>
      <c r="S36" s="89" t="inlineStr">
        <is>
          <t>P</t>
        </is>
      </c>
      <c r="T36" s="89" t="inlineStr">
        <is>
          <t>P</t>
        </is>
      </c>
      <c r="U36" s="89" t="inlineStr">
        <is>
          <t>P</t>
        </is>
      </c>
      <c r="V36" s="89" t="inlineStr">
        <is>
          <t>P</t>
        </is>
      </c>
      <c r="W36" s="89" t="inlineStr">
        <is>
          <t>P</t>
        </is>
      </c>
      <c r="X36" s="89" t="inlineStr">
        <is>
          <t>P</t>
        </is>
      </c>
      <c r="Y36" s="89" t="inlineStr">
        <is>
          <t>P</t>
        </is>
      </c>
      <c r="Z36" s="89" t="inlineStr">
        <is>
          <t>P</t>
        </is>
      </c>
      <c r="AA36" s="89" t="inlineStr">
        <is>
          <t>P</t>
        </is>
      </c>
      <c r="AB36" s="89" t="inlineStr">
        <is>
          <t>P</t>
        </is>
      </c>
      <c r="AC36" s="89" t="inlineStr">
        <is>
          <t>P</t>
        </is>
      </c>
      <c r="AD36" s="89" t="inlineStr">
        <is>
          <t>P</t>
        </is>
      </c>
      <c r="AE36" s="89" t="inlineStr">
        <is>
          <t>P</t>
        </is>
      </c>
      <c r="AF36" s="89" t="inlineStr">
        <is>
          <t>P</t>
        </is>
      </c>
      <c r="AG36" s="89" t="inlineStr">
        <is>
          <t>P</t>
        </is>
      </c>
      <c r="AH36" s="89" t="inlineStr">
        <is>
          <t>P</t>
        </is>
      </c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inlineStr">
        <is>
          <t>P</t>
        </is>
      </c>
      <c r="E37" s="89" t="inlineStr">
        <is>
          <t>P</t>
        </is>
      </c>
      <c r="F37" s="89" t="inlineStr">
        <is>
          <t>P</t>
        </is>
      </c>
      <c r="G37" s="89" t="inlineStr">
        <is>
          <t>P</t>
        </is>
      </c>
      <c r="H37" s="89" t="inlineStr">
        <is>
          <t>P</t>
        </is>
      </c>
      <c r="I37" s="89" t="inlineStr">
        <is>
          <t>P</t>
        </is>
      </c>
      <c r="J37" s="89" t="inlineStr">
        <is>
          <t>P</t>
        </is>
      </c>
      <c r="K37" s="89" t="inlineStr">
        <is>
          <t>P</t>
        </is>
      </c>
      <c r="L37" s="89" t="inlineStr">
        <is>
          <t>P</t>
        </is>
      </c>
      <c r="M37" s="89" t="inlineStr">
        <is>
          <t>P</t>
        </is>
      </c>
      <c r="N37" s="89" t="inlineStr">
        <is>
          <t>P</t>
        </is>
      </c>
      <c r="O37" s="89" t="inlineStr">
        <is>
          <t>P</t>
        </is>
      </c>
      <c r="P37" s="89" t="inlineStr">
        <is>
          <t>P</t>
        </is>
      </c>
      <c r="Q37" s="89" t="inlineStr">
        <is>
          <t>P</t>
        </is>
      </c>
      <c r="R37" s="89" t="inlineStr">
        <is>
          <t>P</t>
        </is>
      </c>
      <c r="S37" s="89" t="inlineStr">
        <is>
          <t>P</t>
        </is>
      </c>
      <c r="T37" s="89" t="inlineStr">
        <is>
          <t>P</t>
        </is>
      </c>
      <c r="U37" s="89" t="inlineStr">
        <is>
          <t>P</t>
        </is>
      </c>
      <c r="V37" s="89" t="inlineStr">
        <is>
          <t>P</t>
        </is>
      </c>
      <c r="W37" s="89" t="inlineStr">
        <is>
          <t>P</t>
        </is>
      </c>
      <c r="X37" s="89" t="inlineStr">
        <is>
          <t>P</t>
        </is>
      </c>
      <c r="Y37" s="89" t="inlineStr">
        <is>
          <t>P</t>
        </is>
      </c>
      <c r="Z37" s="89" t="inlineStr">
        <is>
          <t>P</t>
        </is>
      </c>
      <c r="AA37" s="89" t="inlineStr">
        <is>
          <t>P</t>
        </is>
      </c>
      <c r="AB37" s="89" t="inlineStr">
        <is>
          <t>P</t>
        </is>
      </c>
      <c r="AC37" s="89" t="inlineStr">
        <is>
          <t>P</t>
        </is>
      </c>
      <c r="AD37" s="89" t="inlineStr">
        <is>
          <t>P</t>
        </is>
      </c>
      <c r="AE37" s="89" t="inlineStr">
        <is>
          <t>P</t>
        </is>
      </c>
      <c r="AF37" s="89" t="inlineStr">
        <is>
          <t>P</t>
        </is>
      </c>
      <c r="AG37" s="89" t="inlineStr">
        <is>
          <t>P</t>
        </is>
      </c>
      <c r="AH37" s="89" t="inlineStr">
        <is>
          <t>P</t>
        </is>
      </c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inlineStr">
        <is>
          <t>P</t>
        </is>
      </c>
      <c r="E38" s="89" t="inlineStr">
        <is>
          <t>P</t>
        </is>
      </c>
      <c r="F38" s="89" t="inlineStr">
        <is>
          <t>P</t>
        </is>
      </c>
      <c r="G38" s="89" t="inlineStr">
        <is>
          <t>P</t>
        </is>
      </c>
      <c r="H38" s="89" t="inlineStr">
        <is>
          <t>P</t>
        </is>
      </c>
      <c r="I38" s="89" t="inlineStr">
        <is>
          <t>P</t>
        </is>
      </c>
      <c r="J38" s="89" t="inlineStr">
        <is>
          <t>P</t>
        </is>
      </c>
      <c r="K38" s="89" t="inlineStr">
        <is>
          <t>P</t>
        </is>
      </c>
      <c r="L38" s="89" t="inlineStr">
        <is>
          <t>P</t>
        </is>
      </c>
      <c r="M38" s="89" t="inlineStr">
        <is>
          <t>P</t>
        </is>
      </c>
      <c r="N38" s="89" t="inlineStr">
        <is>
          <t>P</t>
        </is>
      </c>
      <c r="O38" s="89" t="inlineStr">
        <is>
          <t>P</t>
        </is>
      </c>
      <c r="P38" s="89" t="inlineStr">
        <is>
          <t>P</t>
        </is>
      </c>
      <c r="Q38" s="89" t="inlineStr">
        <is>
          <t>P</t>
        </is>
      </c>
      <c r="R38" s="89" t="inlineStr">
        <is>
          <t>P</t>
        </is>
      </c>
      <c r="S38" s="89" t="inlineStr">
        <is>
          <t>P</t>
        </is>
      </c>
      <c r="T38" s="89" t="inlineStr">
        <is>
          <t>P</t>
        </is>
      </c>
      <c r="U38" s="89" t="inlineStr">
        <is>
          <t>P</t>
        </is>
      </c>
      <c r="V38" s="89" t="inlineStr">
        <is>
          <t>P</t>
        </is>
      </c>
      <c r="W38" s="89" t="inlineStr">
        <is>
          <t>P</t>
        </is>
      </c>
      <c r="X38" s="89" t="inlineStr">
        <is>
          <t>P</t>
        </is>
      </c>
      <c r="Y38" s="89" t="inlineStr">
        <is>
          <t>P</t>
        </is>
      </c>
      <c r="Z38" s="89" t="inlineStr">
        <is>
          <t>P</t>
        </is>
      </c>
      <c r="AA38" s="89" t="inlineStr">
        <is>
          <t>P</t>
        </is>
      </c>
      <c r="AB38" s="89" t="inlineStr">
        <is>
          <t>P</t>
        </is>
      </c>
      <c r="AC38" s="89" t="inlineStr">
        <is>
          <t>P</t>
        </is>
      </c>
      <c r="AD38" s="89" t="inlineStr">
        <is>
          <t>P</t>
        </is>
      </c>
      <c r="AE38" s="89" t="inlineStr">
        <is>
          <t>P</t>
        </is>
      </c>
      <c r="AF38" s="89" t="inlineStr">
        <is>
          <t>P</t>
        </is>
      </c>
      <c r="AG38" s="89" t="inlineStr">
        <is>
          <t>P</t>
        </is>
      </c>
      <c r="AH38" s="89" t="inlineStr">
        <is>
          <t>P</t>
        </is>
      </c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inlineStr">
        <is>
          <t>P</t>
        </is>
      </c>
      <c r="E39" s="89" t="inlineStr">
        <is>
          <t>P</t>
        </is>
      </c>
      <c r="F39" s="89" t="inlineStr">
        <is>
          <t>P</t>
        </is>
      </c>
      <c r="G39" s="89" t="inlineStr">
        <is>
          <t>P</t>
        </is>
      </c>
      <c r="H39" s="89" t="inlineStr">
        <is>
          <t>P</t>
        </is>
      </c>
      <c r="I39" s="89" t="inlineStr">
        <is>
          <t>P</t>
        </is>
      </c>
      <c r="J39" s="89" t="inlineStr">
        <is>
          <t>P</t>
        </is>
      </c>
      <c r="K39" s="89" t="inlineStr">
        <is>
          <t>P</t>
        </is>
      </c>
      <c r="L39" s="89" t="inlineStr">
        <is>
          <t>P</t>
        </is>
      </c>
      <c r="M39" s="89" t="inlineStr">
        <is>
          <t>P</t>
        </is>
      </c>
      <c r="N39" s="89" t="inlineStr">
        <is>
          <t>P</t>
        </is>
      </c>
      <c r="O39" s="89" t="inlineStr">
        <is>
          <t>P</t>
        </is>
      </c>
      <c r="P39" s="89" t="inlineStr">
        <is>
          <t>P</t>
        </is>
      </c>
      <c r="Q39" s="89" t="inlineStr">
        <is>
          <t>P</t>
        </is>
      </c>
      <c r="R39" s="89" t="inlineStr">
        <is>
          <t>P</t>
        </is>
      </c>
      <c r="S39" s="89" t="inlineStr">
        <is>
          <t>P</t>
        </is>
      </c>
      <c r="T39" s="89" t="inlineStr">
        <is>
          <t>P</t>
        </is>
      </c>
      <c r="U39" s="89" t="inlineStr">
        <is>
          <t>P</t>
        </is>
      </c>
      <c r="V39" s="89" t="inlineStr">
        <is>
          <t>P</t>
        </is>
      </c>
      <c r="W39" s="89" t="inlineStr">
        <is>
          <t>P</t>
        </is>
      </c>
      <c r="X39" s="89" t="inlineStr">
        <is>
          <t>P</t>
        </is>
      </c>
      <c r="Y39" s="89" t="inlineStr">
        <is>
          <t>P</t>
        </is>
      </c>
      <c r="Z39" s="89" t="inlineStr">
        <is>
          <t>P</t>
        </is>
      </c>
      <c r="AA39" s="89" t="inlineStr">
        <is>
          <t>P</t>
        </is>
      </c>
      <c r="AB39" s="89" t="inlineStr">
        <is>
          <t>P</t>
        </is>
      </c>
      <c r="AC39" s="89" t="inlineStr">
        <is>
          <t>P</t>
        </is>
      </c>
      <c r="AD39" s="121" t="inlineStr">
        <is>
          <t>UA</t>
        </is>
      </c>
      <c r="AE39" s="89" t="inlineStr">
        <is>
          <t>P</t>
        </is>
      </c>
      <c r="AF39" s="89" t="inlineStr">
        <is>
          <t>P</t>
        </is>
      </c>
      <c r="AG39" s="89" t="inlineStr">
        <is>
          <t>P</t>
        </is>
      </c>
      <c r="AH39" s="89" t="inlineStr">
        <is>
          <t>P</t>
        </is>
      </c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inlineStr">
        <is>
          <t>P</t>
        </is>
      </c>
      <c r="E40" s="89" t="inlineStr">
        <is>
          <t>P</t>
        </is>
      </c>
      <c r="F40" s="89" t="inlineStr">
        <is>
          <t>P</t>
        </is>
      </c>
      <c r="G40" s="89" t="inlineStr">
        <is>
          <t>P</t>
        </is>
      </c>
      <c r="H40" s="89" t="inlineStr">
        <is>
          <t>P</t>
        </is>
      </c>
      <c r="I40" s="89" t="inlineStr">
        <is>
          <t>P</t>
        </is>
      </c>
      <c r="J40" s="89" t="inlineStr">
        <is>
          <t>P</t>
        </is>
      </c>
      <c r="K40" s="89" t="inlineStr">
        <is>
          <t>P</t>
        </is>
      </c>
      <c r="L40" s="89" t="inlineStr">
        <is>
          <t>P</t>
        </is>
      </c>
      <c r="M40" s="89" t="inlineStr">
        <is>
          <t>P</t>
        </is>
      </c>
      <c r="N40" s="89" t="inlineStr">
        <is>
          <t>P</t>
        </is>
      </c>
      <c r="O40" s="89" t="inlineStr">
        <is>
          <t>P</t>
        </is>
      </c>
      <c r="P40" s="89" t="inlineStr">
        <is>
          <t>P</t>
        </is>
      </c>
      <c r="Q40" s="89" t="inlineStr">
        <is>
          <t>P</t>
        </is>
      </c>
      <c r="R40" s="89" t="inlineStr">
        <is>
          <t>P</t>
        </is>
      </c>
      <c r="S40" s="89" t="inlineStr">
        <is>
          <t>P</t>
        </is>
      </c>
      <c r="T40" s="89" t="inlineStr">
        <is>
          <t>P</t>
        </is>
      </c>
      <c r="U40" s="89" t="inlineStr">
        <is>
          <t>P</t>
        </is>
      </c>
      <c r="V40" s="89" t="inlineStr">
        <is>
          <t>P</t>
        </is>
      </c>
      <c r="W40" s="89" t="inlineStr">
        <is>
          <t>P</t>
        </is>
      </c>
      <c r="X40" s="89" t="inlineStr">
        <is>
          <t>P</t>
        </is>
      </c>
      <c r="Y40" s="89" t="inlineStr">
        <is>
          <t>P</t>
        </is>
      </c>
      <c r="Z40" s="89" t="inlineStr">
        <is>
          <t>P</t>
        </is>
      </c>
      <c r="AA40" s="89" t="inlineStr">
        <is>
          <t>P</t>
        </is>
      </c>
      <c r="AB40" s="89" t="inlineStr">
        <is>
          <t>P</t>
        </is>
      </c>
      <c r="AC40" s="89" t="inlineStr">
        <is>
          <t>P</t>
        </is>
      </c>
      <c r="AD40" s="89" t="inlineStr">
        <is>
          <t>P</t>
        </is>
      </c>
      <c r="AE40" s="89" t="inlineStr">
        <is>
          <t>P</t>
        </is>
      </c>
      <c r="AF40" s="89" t="inlineStr">
        <is>
          <t>P</t>
        </is>
      </c>
      <c r="AG40" s="121" t="inlineStr">
        <is>
          <t>UA</t>
        </is>
      </c>
      <c r="AH40" s="89" t="inlineStr">
        <is>
          <t>P</t>
        </is>
      </c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27.6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inlineStr">
        <is>
          <t>P</t>
        </is>
      </c>
      <c r="E41" s="89" t="inlineStr">
        <is>
          <t>P</t>
        </is>
      </c>
      <c r="F41" s="89" t="inlineStr">
        <is>
          <t>P</t>
        </is>
      </c>
      <c r="G41" s="89" t="inlineStr">
        <is>
          <t>P</t>
        </is>
      </c>
      <c r="H41" s="89" t="inlineStr">
        <is>
          <t>P</t>
        </is>
      </c>
      <c r="I41" s="89" t="inlineStr">
        <is>
          <t>P</t>
        </is>
      </c>
      <c r="J41" s="89" t="inlineStr">
        <is>
          <t>P</t>
        </is>
      </c>
      <c r="K41" s="89" t="inlineStr">
        <is>
          <t>P</t>
        </is>
      </c>
      <c r="L41" s="89" t="inlineStr">
        <is>
          <t>P</t>
        </is>
      </c>
      <c r="M41" s="89" t="inlineStr">
        <is>
          <t>P</t>
        </is>
      </c>
      <c r="N41" s="89" t="inlineStr">
        <is>
          <t>P</t>
        </is>
      </c>
      <c r="O41" s="89" t="inlineStr">
        <is>
          <t>P</t>
        </is>
      </c>
      <c r="P41" s="89" t="inlineStr">
        <is>
          <t>P</t>
        </is>
      </c>
      <c r="Q41" s="89" t="inlineStr">
        <is>
          <t>P</t>
        </is>
      </c>
      <c r="R41" s="89" t="inlineStr">
        <is>
          <t>P</t>
        </is>
      </c>
      <c r="S41" s="121" t="inlineStr">
        <is>
          <t>UA</t>
        </is>
      </c>
      <c r="T41" s="121" t="inlineStr">
        <is>
          <t>UA</t>
        </is>
      </c>
      <c r="U41" s="121" t="inlineStr">
        <is>
          <t>UA</t>
        </is>
      </c>
      <c r="V41" s="121" t="inlineStr">
        <is>
          <t>UA</t>
        </is>
      </c>
      <c r="W41" s="121" t="inlineStr">
        <is>
          <t>UA</t>
        </is>
      </c>
      <c r="X41" s="121" t="inlineStr">
        <is>
          <t>UA</t>
        </is>
      </c>
      <c r="Y41" s="121" t="inlineStr">
        <is>
          <t>UA</t>
        </is>
      </c>
      <c r="Z41" s="121" t="inlineStr">
        <is>
          <t>UA</t>
        </is>
      </c>
      <c r="AA41" s="121" t="inlineStr">
        <is>
          <t>UA</t>
        </is>
      </c>
      <c r="AB41" s="121" t="inlineStr">
        <is>
          <t>UA</t>
        </is>
      </c>
      <c r="AC41" s="121" t="inlineStr">
        <is>
          <t>UA</t>
        </is>
      </c>
      <c r="AD41" s="121" t="inlineStr">
        <is>
          <t>UA</t>
        </is>
      </c>
      <c r="AE41" s="121" t="inlineStr">
        <is>
          <t>UA</t>
        </is>
      </c>
      <c r="AF41" s="121" t="inlineStr">
        <is>
          <t>UA</t>
        </is>
      </c>
      <c r="AG41" s="121" t="inlineStr">
        <is>
          <t>UA</t>
        </is>
      </c>
      <c r="AH41" s="121" t="inlineStr">
        <is>
          <t>UA</t>
        </is>
      </c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inlineStr">
        <is>
          <t>P</t>
        </is>
      </c>
      <c r="E42" s="89" t="inlineStr">
        <is>
          <t>P</t>
        </is>
      </c>
      <c r="F42" s="89" t="inlineStr">
        <is>
          <t>P</t>
        </is>
      </c>
      <c r="G42" s="89" t="inlineStr">
        <is>
          <t>P</t>
        </is>
      </c>
      <c r="H42" s="89" t="inlineStr">
        <is>
          <t>P</t>
        </is>
      </c>
      <c r="I42" s="89" t="inlineStr">
        <is>
          <t>P</t>
        </is>
      </c>
      <c r="J42" s="89" t="inlineStr">
        <is>
          <t>P</t>
        </is>
      </c>
      <c r="K42" s="89" t="inlineStr">
        <is>
          <t>P</t>
        </is>
      </c>
      <c r="L42" s="89" t="inlineStr">
        <is>
          <t>P</t>
        </is>
      </c>
      <c r="M42" s="89" t="inlineStr">
        <is>
          <t>P</t>
        </is>
      </c>
      <c r="N42" s="89" t="inlineStr">
        <is>
          <t>P</t>
        </is>
      </c>
      <c r="O42" s="89" t="inlineStr">
        <is>
          <t>P</t>
        </is>
      </c>
      <c r="P42" s="89" t="inlineStr">
        <is>
          <t>P</t>
        </is>
      </c>
      <c r="Q42" s="89" t="inlineStr">
        <is>
          <t>P</t>
        </is>
      </c>
      <c r="R42" s="89" t="inlineStr">
        <is>
          <t>P</t>
        </is>
      </c>
      <c r="S42" s="89" t="inlineStr">
        <is>
          <t>P</t>
        </is>
      </c>
      <c r="T42" s="89" t="inlineStr">
        <is>
          <t>P</t>
        </is>
      </c>
      <c r="U42" s="89" t="inlineStr">
        <is>
          <t>P</t>
        </is>
      </c>
      <c r="V42" s="89" t="inlineStr">
        <is>
          <t>P</t>
        </is>
      </c>
      <c r="W42" s="89" t="inlineStr">
        <is>
          <t>P</t>
        </is>
      </c>
      <c r="X42" s="89" t="inlineStr">
        <is>
          <t>P</t>
        </is>
      </c>
      <c r="Y42" s="89" t="inlineStr">
        <is>
          <t>P</t>
        </is>
      </c>
      <c r="Z42" s="89" t="inlineStr">
        <is>
          <t>P</t>
        </is>
      </c>
      <c r="AA42" s="89" t="inlineStr">
        <is>
          <t>P</t>
        </is>
      </c>
      <c r="AB42" s="89" t="inlineStr">
        <is>
          <t>P</t>
        </is>
      </c>
      <c r="AC42" s="89" t="inlineStr">
        <is>
          <t>P</t>
        </is>
      </c>
      <c r="AD42" s="89" t="inlineStr">
        <is>
          <t>P</t>
        </is>
      </c>
      <c r="AE42" s="89" t="inlineStr">
        <is>
          <t>P</t>
        </is>
      </c>
      <c r="AF42" s="89" t="inlineStr">
        <is>
          <t>P</t>
        </is>
      </c>
      <c r="AG42" s="89" t="inlineStr">
        <is>
          <t>P</t>
        </is>
      </c>
      <c r="AH42" s="89" t="inlineStr">
        <is>
          <t>P</t>
        </is>
      </c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121" t="inlineStr">
        <is>
          <t>UA</t>
        </is>
      </c>
      <c r="E43" s="121" t="inlineStr">
        <is>
          <t>UA</t>
        </is>
      </c>
      <c r="F43" s="121" t="inlineStr">
        <is>
          <t>UA</t>
        </is>
      </c>
      <c r="G43" s="121" t="inlineStr">
        <is>
          <t>UA</t>
        </is>
      </c>
      <c r="H43" s="121" t="inlineStr">
        <is>
          <t>UA</t>
        </is>
      </c>
      <c r="I43" s="121" t="inlineStr">
        <is>
          <t>UA</t>
        </is>
      </c>
      <c r="J43" s="121" t="inlineStr">
        <is>
          <t>UA</t>
        </is>
      </c>
      <c r="K43" s="89" t="inlineStr">
        <is>
          <t>P</t>
        </is>
      </c>
      <c r="L43" s="89" t="inlineStr">
        <is>
          <t>P</t>
        </is>
      </c>
      <c r="M43" s="89" t="inlineStr">
        <is>
          <t>P</t>
        </is>
      </c>
      <c r="N43" s="89" t="inlineStr">
        <is>
          <t>P</t>
        </is>
      </c>
      <c r="O43" s="89" t="inlineStr">
        <is>
          <t>P</t>
        </is>
      </c>
      <c r="P43" s="89" t="inlineStr">
        <is>
          <t>P</t>
        </is>
      </c>
      <c r="Q43" s="89" t="inlineStr">
        <is>
          <t>P</t>
        </is>
      </c>
      <c r="R43" s="89" t="inlineStr">
        <is>
          <t>P</t>
        </is>
      </c>
      <c r="S43" s="89" t="inlineStr">
        <is>
          <t>P</t>
        </is>
      </c>
      <c r="T43" s="89" t="inlineStr">
        <is>
          <t>P</t>
        </is>
      </c>
      <c r="U43" s="89" t="inlineStr">
        <is>
          <t>P</t>
        </is>
      </c>
      <c r="V43" s="89" t="inlineStr">
        <is>
          <t>P</t>
        </is>
      </c>
      <c r="W43" s="89" t="inlineStr">
        <is>
          <t>P</t>
        </is>
      </c>
      <c r="X43" s="89" t="inlineStr">
        <is>
          <t>P</t>
        </is>
      </c>
      <c r="Y43" s="89" t="inlineStr">
        <is>
          <t>P</t>
        </is>
      </c>
      <c r="Z43" s="89" t="inlineStr">
        <is>
          <t>P</t>
        </is>
      </c>
      <c r="AA43" s="89" t="inlineStr">
        <is>
          <t>P</t>
        </is>
      </c>
      <c r="AB43" s="89" t="inlineStr">
        <is>
          <t>P</t>
        </is>
      </c>
      <c r="AC43" s="89" t="inlineStr">
        <is>
          <t>P</t>
        </is>
      </c>
      <c r="AD43" s="89" t="inlineStr">
        <is>
          <t>P</t>
        </is>
      </c>
      <c r="AE43" s="89" t="inlineStr">
        <is>
          <t>P</t>
        </is>
      </c>
      <c r="AF43" s="89" t="inlineStr">
        <is>
          <t>P</t>
        </is>
      </c>
      <c r="AG43" s="89" t="inlineStr">
        <is>
          <t>P</t>
        </is>
      </c>
      <c r="AH43" s="89" t="inlineStr">
        <is>
          <t>P</t>
        </is>
      </c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inlineStr">
        <is>
          <t>P</t>
        </is>
      </c>
      <c r="E44" s="89" t="inlineStr">
        <is>
          <t>P</t>
        </is>
      </c>
      <c r="F44" s="89" t="inlineStr">
        <is>
          <t>P</t>
        </is>
      </c>
      <c r="G44" s="89" t="inlineStr">
        <is>
          <t>P</t>
        </is>
      </c>
      <c r="H44" s="89" t="inlineStr">
        <is>
          <t>P</t>
        </is>
      </c>
      <c r="I44" s="89" t="inlineStr">
        <is>
          <t>P</t>
        </is>
      </c>
      <c r="J44" s="89" t="inlineStr">
        <is>
          <t>P</t>
        </is>
      </c>
      <c r="K44" s="89" t="inlineStr">
        <is>
          <t>P</t>
        </is>
      </c>
      <c r="L44" s="89" t="inlineStr">
        <is>
          <t>P</t>
        </is>
      </c>
      <c r="M44" s="89" t="inlineStr">
        <is>
          <t>P</t>
        </is>
      </c>
      <c r="N44" s="89" t="inlineStr">
        <is>
          <t>P</t>
        </is>
      </c>
      <c r="O44" s="89" t="inlineStr">
        <is>
          <t>P</t>
        </is>
      </c>
      <c r="P44" s="89" t="inlineStr">
        <is>
          <t>P</t>
        </is>
      </c>
      <c r="Q44" s="89" t="inlineStr">
        <is>
          <t>P</t>
        </is>
      </c>
      <c r="R44" s="89" t="inlineStr">
        <is>
          <t>P</t>
        </is>
      </c>
      <c r="S44" s="89" t="inlineStr">
        <is>
          <t>P</t>
        </is>
      </c>
      <c r="T44" s="89" t="inlineStr">
        <is>
          <t>P</t>
        </is>
      </c>
      <c r="U44" s="89" t="inlineStr">
        <is>
          <t>P</t>
        </is>
      </c>
      <c r="V44" s="89" t="inlineStr">
        <is>
          <t>P</t>
        </is>
      </c>
      <c r="W44" s="89" t="inlineStr">
        <is>
          <t>P</t>
        </is>
      </c>
      <c r="X44" s="89" t="inlineStr">
        <is>
          <t>P</t>
        </is>
      </c>
      <c r="Y44" s="89" t="inlineStr">
        <is>
          <t>P</t>
        </is>
      </c>
      <c r="Z44" s="89" t="inlineStr">
        <is>
          <t>P</t>
        </is>
      </c>
      <c r="AA44" s="89" t="inlineStr">
        <is>
          <t>P</t>
        </is>
      </c>
      <c r="AB44" s="89" t="inlineStr">
        <is>
          <t>P</t>
        </is>
      </c>
      <c r="AC44" s="89" t="inlineStr">
        <is>
          <t>P</t>
        </is>
      </c>
      <c r="AD44" s="89" t="inlineStr">
        <is>
          <t>P</t>
        </is>
      </c>
      <c r="AE44" s="89" t="inlineStr">
        <is>
          <t>P</t>
        </is>
      </c>
      <c r="AF44" s="89" t="inlineStr">
        <is>
          <t>P</t>
        </is>
      </c>
      <c r="AG44" s="89" t="inlineStr">
        <is>
          <t>P</t>
        </is>
      </c>
      <c r="AH44" s="89" t="inlineStr">
        <is>
          <t>P</t>
        </is>
      </c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inlineStr">
        <is>
          <t>P</t>
        </is>
      </c>
      <c r="E45" s="89" t="inlineStr">
        <is>
          <t>P</t>
        </is>
      </c>
      <c r="F45" s="89" t="inlineStr">
        <is>
          <t>P</t>
        </is>
      </c>
      <c r="G45" s="89" t="inlineStr">
        <is>
          <t>P</t>
        </is>
      </c>
      <c r="H45" s="89" t="inlineStr">
        <is>
          <t>P</t>
        </is>
      </c>
      <c r="I45" s="89" t="inlineStr">
        <is>
          <t>P</t>
        </is>
      </c>
      <c r="J45" s="89" t="inlineStr">
        <is>
          <t>P</t>
        </is>
      </c>
      <c r="K45" s="89" t="inlineStr">
        <is>
          <t>P</t>
        </is>
      </c>
      <c r="L45" s="89" t="inlineStr">
        <is>
          <t>P</t>
        </is>
      </c>
      <c r="M45" s="89" t="inlineStr">
        <is>
          <t>P</t>
        </is>
      </c>
      <c r="N45" s="89" t="inlineStr">
        <is>
          <t>P</t>
        </is>
      </c>
      <c r="O45" s="89" t="inlineStr">
        <is>
          <t>P</t>
        </is>
      </c>
      <c r="P45" s="89" t="inlineStr">
        <is>
          <t>P</t>
        </is>
      </c>
      <c r="Q45" s="89" t="inlineStr">
        <is>
          <t>P</t>
        </is>
      </c>
      <c r="R45" s="89" t="inlineStr">
        <is>
          <t>P</t>
        </is>
      </c>
      <c r="S45" s="89" t="inlineStr">
        <is>
          <t>P</t>
        </is>
      </c>
      <c r="T45" s="89" t="inlineStr">
        <is>
          <t>P</t>
        </is>
      </c>
      <c r="U45" s="89" t="inlineStr">
        <is>
          <t>P</t>
        </is>
      </c>
      <c r="V45" s="89" t="inlineStr">
        <is>
          <t>P</t>
        </is>
      </c>
      <c r="W45" s="89" t="inlineStr">
        <is>
          <t>P</t>
        </is>
      </c>
      <c r="X45" s="89" t="inlineStr">
        <is>
          <t>P</t>
        </is>
      </c>
      <c r="Y45" s="89" t="inlineStr">
        <is>
          <t>P</t>
        </is>
      </c>
      <c r="Z45" s="89" t="inlineStr">
        <is>
          <t>P</t>
        </is>
      </c>
      <c r="AA45" s="89" t="inlineStr">
        <is>
          <t>P</t>
        </is>
      </c>
      <c r="AB45" s="89" t="inlineStr">
        <is>
          <t>P</t>
        </is>
      </c>
      <c r="AC45" s="89" t="inlineStr">
        <is>
          <t>P</t>
        </is>
      </c>
      <c r="AD45" s="89" t="inlineStr">
        <is>
          <t>P</t>
        </is>
      </c>
      <c r="AE45" s="89" t="inlineStr">
        <is>
          <t>P</t>
        </is>
      </c>
      <c r="AF45" s="89" t="inlineStr">
        <is>
          <t>P</t>
        </is>
      </c>
      <c r="AG45" s="89" t="inlineStr">
        <is>
          <t>P</t>
        </is>
      </c>
      <c r="AH45" s="89" t="inlineStr">
        <is>
          <t>P</t>
        </is>
      </c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inlineStr">
        <is>
          <t>P</t>
        </is>
      </c>
      <c r="E46" s="89" t="inlineStr">
        <is>
          <t>P</t>
        </is>
      </c>
      <c r="F46" s="89" t="inlineStr">
        <is>
          <t>P</t>
        </is>
      </c>
      <c r="G46" s="89" t="inlineStr">
        <is>
          <t>P</t>
        </is>
      </c>
      <c r="H46" s="89" t="inlineStr">
        <is>
          <t>P</t>
        </is>
      </c>
      <c r="I46" s="89" t="inlineStr">
        <is>
          <t>P</t>
        </is>
      </c>
      <c r="J46" s="89" t="inlineStr">
        <is>
          <t>P</t>
        </is>
      </c>
      <c r="K46" s="89" t="inlineStr">
        <is>
          <t>P</t>
        </is>
      </c>
      <c r="L46" s="89" t="inlineStr">
        <is>
          <t>P</t>
        </is>
      </c>
      <c r="M46" s="89" t="inlineStr">
        <is>
          <t>P</t>
        </is>
      </c>
      <c r="N46" s="89" t="inlineStr">
        <is>
          <t>P</t>
        </is>
      </c>
      <c r="O46" s="89" t="inlineStr">
        <is>
          <t>P</t>
        </is>
      </c>
      <c r="P46" s="89" t="inlineStr">
        <is>
          <t>P</t>
        </is>
      </c>
      <c r="Q46" s="89" t="inlineStr">
        <is>
          <t>P</t>
        </is>
      </c>
      <c r="R46" s="89" t="inlineStr">
        <is>
          <t>P</t>
        </is>
      </c>
      <c r="S46" s="89" t="inlineStr">
        <is>
          <t>P</t>
        </is>
      </c>
      <c r="T46" s="89" t="inlineStr">
        <is>
          <t>P</t>
        </is>
      </c>
      <c r="U46" s="89" t="inlineStr">
        <is>
          <t>P</t>
        </is>
      </c>
      <c r="V46" s="89" t="inlineStr">
        <is>
          <t>P</t>
        </is>
      </c>
      <c r="W46" s="89" t="inlineStr">
        <is>
          <t>P</t>
        </is>
      </c>
      <c r="X46" s="89" t="inlineStr">
        <is>
          <t>P</t>
        </is>
      </c>
      <c r="Y46" s="89" t="inlineStr">
        <is>
          <t>P</t>
        </is>
      </c>
      <c r="Z46" s="89" t="inlineStr">
        <is>
          <t>P</t>
        </is>
      </c>
      <c r="AA46" s="89" t="inlineStr">
        <is>
          <t>P</t>
        </is>
      </c>
      <c r="AB46" s="89" t="inlineStr">
        <is>
          <t>P</t>
        </is>
      </c>
      <c r="AC46" s="89" t="inlineStr">
        <is>
          <t>P</t>
        </is>
      </c>
      <c r="AD46" s="89" t="inlineStr">
        <is>
          <t>P</t>
        </is>
      </c>
      <c r="AE46" s="89" t="inlineStr">
        <is>
          <t>P</t>
        </is>
      </c>
      <c r="AF46" s="89" t="inlineStr">
        <is>
          <t>P</t>
        </is>
      </c>
      <c r="AG46" s="89" t="inlineStr">
        <is>
          <t>P</t>
        </is>
      </c>
      <c r="AH46" s="89" t="inlineStr">
        <is>
          <t>P</t>
        </is>
      </c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21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121" t="inlineStr">
        <is>
          <t>UA</t>
        </is>
      </c>
      <c r="E47" s="121" t="inlineStr">
        <is>
          <t>UA</t>
        </is>
      </c>
      <c r="F47" s="89" t="inlineStr">
        <is>
          <t>P</t>
        </is>
      </c>
      <c r="G47" s="89" t="inlineStr">
        <is>
          <t>P</t>
        </is>
      </c>
      <c r="H47" s="89" t="inlineStr">
        <is>
          <t>P</t>
        </is>
      </c>
      <c r="I47" s="89" t="inlineStr">
        <is>
          <t>P</t>
        </is>
      </c>
      <c r="J47" s="89" t="inlineStr">
        <is>
          <t>P</t>
        </is>
      </c>
      <c r="K47" s="89" t="inlineStr">
        <is>
          <t>P</t>
        </is>
      </c>
      <c r="L47" s="89" t="inlineStr">
        <is>
          <t>P</t>
        </is>
      </c>
      <c r="M47" s="89" t="inlineStr">
        <is>
          <t>P</t>
        </is>
      </c>
      <c r="N47" s="89" t="inlineStr">
        <is>
          <t>P</t>
        </is>
      </c>
      <c r="O47" s="89" t="inlineStr">
        <is>
          <t>P</t>
        </is>
      </c>
      <c r="P47" s="89" t="inlineStr">
        <is>
          <t>P</t>
        </is>
      </c>
      <c r="Q47" s="89" t="inlineStr">
        <is>
          <t>P</t>
        </is>
      </c>
      <c r="R47" s="89" t="inlineStr">
        <is>
          <t>P</t>
        </is>
      </c>
      <c r="S47" s="89" t="inlineStr">
        <is>
          <t>P</t>
        </is>
      </c>
      <c r="T47" s="89" t="inlineStr">
        <is>
          <t>P</t>
        </is>
      </c>
      <c r="U47" s="89" t="inlineStr">
        <is>
          <t>P</t>
        </is>
      </c>
      <c r="V47" s="89" t="inlineStr">
        <is>
          <t>P</t>
        </is>
      </c>
      <c r="W47" s="89" t="inlineStr">
        <is>
          <t>P</t>
        </is>
      </c>
      <c r="X47" s="89" t="inlineStr">
        <is>
          <t>P</t>
        </is>
      </c>
      <c r="Y47" s="89" t="inlineStr">
        <is>
          <t>P</t>
        </is>
      </c>
      <c r="Z47" s="89" t="inlineStr">
        <is>
          <t>P</t>
        </is>
      </c>
      <c r="AA47" s="89" t="inlineStr">
        <is>
          <t>P</t>
        </is>
      </c>
      <c r="AB47" s="89" t="inlineStr">
        <is>
          <t>P</t>
        </is>
      </c>
      <c r="AC47" s="89" t="inlineStr">
        <is>
          <t>P</t>
        </is>
      </c>
      <c r="AD47" s="89" t="inlineStr">
        <is>
          <t>P</t>
        </is>
      </c>
      <c r="AE47" s="89" t="inlineStr">
        <is>
          <t>P</t>
        </is>
      </c>
      <c r="AF47" s="89" t="inlineStr">
        <is>
          <t>P</t>
        </is>
      </c>
      <c r="AG47" s="89" t="inlineStr">
        <is>
          <t>P</t>
        </is>
      </c>
      <c r="AH47" s="89" t="inlineStr">
        <is>
          <t>P</t>
        </is>
      </c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inlineStr">
        <is>
          <t>P</t>
        </is>
      </c>
      <c r="E48" s="89" t="inlineStr">
        <is>
          <t>P</t>
        </is>
      </c>
      <c r="F48" s="89" t="inlineStr">
        <is>
          <t>P</t>
        </is>
      </c>
      <c r="G48" s="89" t="inlineStr">
        <is>
          <t>P</t>
        </is>
      </c>
      <c r="H48" s="89" t="inlineStr">
        <is>
          <t>P</t>
        </is>
      </c>
      <c r="I48" s="89" t="inlineStr">
        <is>
          <t>P</t>
        </is>
      </c>
      <c r="J48" s="89" t="inlineStr">
        <is>
          <t>P</t>
        </is>
      </c>
      <c r="K48" s="89" t="inlineStr">
        <is>
          <t>P</t>
        </is>
      </c>
      <c r="L48" s="89" t="inlineStr">
        <is>
          <t>P</t>
        </is>
      </c>
      <c r="M48" s="89" t="inlineStr">
        <is>
          <t>P</t>
        </is>
      </c>
      <c r="N48" s="89" t="inlineStr">
        <is>
          <t>P</t>
        </is>
      </c>
      <c r="O48" s="89" t="inlineStr">
        <is>
          <t>P</t>
        </is>
      </c>
      <c r="P48" s="89" t="inlineStr">
        <is>
          <t>P</t>
        </is>
      </c>
      <c r="Q48" s="89" t="inlineStr">
        <is>
          <t>P</t>
        </is>
      </c>
      <c r="R48" s="89" t="inlineStr">
        <is>
          <t>P</t>
        </is>
      </c>
      <c r="S48" s="89" t="inlineStr">
        <is>
          <t>P</t>
        </is>
      </c>
      <c r="T48" s="89" t="inlineStr">
        <is>
          <t>P</t>
        </is>
      </c>
      <c r="U48" s="89" t="inlineStr">
        <is>
          <t>P</t>
        </is>
      </c>
      <c r="V48" s="121" t="inlineStr">
        <is>
          <t>UA</t>
        </is>
      </c>
      <c r="W48" s="89" t="inlineStr">
        <is>
          <t>P</t>
        </is>
      </c>
      <c r="X48" s="89" t="inlineStr">
        <is>
          <t>P</t>
        </is>
      </c>
      <c r="Y48" s="89" t="inlineStr">
        <is>
          <t>P</t>
        </is>
      </c>
      <c r="Z48" s="89" t="inlineStr">
        <is>
          <t>P</t>
        </is>
      </c>
      <c r="AA48" s="89" t="inlineStr">
        <is>
          <t>P</t>
        </is>
      </c>
      <c r="AB48" s="89" t="inlineStr">
        <is>
          <t>P</t>
        </is>
      </c>
      <c r="AC48" s="89" t="inlineStr">
        <is>
          <t>P</t>
        </is>
      </c>
      <c r="AD48" s="89" t="inlineStr">
        <is>
          <t>P</t>
        </is>
      </c>
      <c r="AE48" s="89" t="inlineStr">
        <is>
          <t>P</t>
        </is>
      </c>
      <c r="AF48" s="89" t="inlineStr">
        <is>
          <t>P</t>
        </is>
      </c>
      <c r="AG48" s="89" t="inlineStr">
        <is>
          <t>P</t>
        </is>
      </c>
      <c r="AH48" s="89" t="inlineStr">
        <is>
          <t>P</t>
        </is>
      </c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inlineStr">
        <is>
          <t>P</t>
        </is>
      </c>
      <c r="E49" s="89" t="inlineStr">
        <is>
          <t>P</t>
        </is>
      </c>
      <c r="F49" s="89" t="inlineStr">
        <is>
          <t>P</t>
        </is>
      </c>
      <c r="G49" s="89" t="inlineStr">
        <is>
          <t>P</t>
        </is>
      </c>
      <c r="H49" s="89" t="inlineStr">
        <is>
          <t>P</t>
        </is>
      </c>
      <c r="I49" s="89" t="inlineStr">
        <is>
          <t>P</t>
        </is>
      </c>
      <c r="J49" s="89" t="inlineStr">
        <is>
          <t>P</t>
        </is>
      </c>
      <c r="K49" s="89" t="inlineStr">
        <is>
          <t>P</t>
        </is>
      </c>
      <c r="L49" s="89" t="inlineStr">
        <is>
          <t>P</t>
        </is>
      </c>
      <c r="M49" s="89" t="inlineStr">
        <is>
          <t>P</t>
        </is>
      </c>
      <c r="N49" s="89" t="inlineStr">
        <is>
          <t>P</t>
        </is>
      </c>
      <c r="O49" s="89" t="inlineStr">
        <is>
          <t>P</t>
        </is>
      </c>
      <c r="P49" s="89" t="inlineStr">
        <is>
          <t>P</t>
        </is>
      </c>
      <c r="Q49" s="89" t="inlineStr">
        <is>
          <t>P</t>
        </is>
      </c>
      <c r="R49" s="89" t="inlineStr">
        <is>
          <t>P</t>
        </is>
      </c>
      <c r="S49" s="89" t="inlineStr">
        <is>
          <t>P</t>
        </is>
      </c>
      <c r="T49" s="89" t="inlineStr">
        <is>
          <t>P</t>
        </is>
      </c>
      <c r="U49" s="89" t="inlineStr">
        <is>
          <t>P</t>
        </is>
      </c>
      <c r="V49" s="89" t="inlineStr">
        <is>
          <t>P</t>
        </is>
      </c>
      <c r="W49" s="89" t="inlineStr">
        <is>
          <t>P</t>
        </is>
      </c>
      <c r="X49" s="89" t="inlineStr">
        <is>
          <t>P</t>
        </is>
      </c>
      <c r="Y49" s="89" t="inlineStr">
        <is>
          <t>P</t>
        </is>
      </c>
      <c r="Z49" s="89" t="inlineStr">
        <is>
          <t>P</t>
        </is>
      </c>
      <c r="AA49" s="89" t="inlineStr">
        <is>
          <t>P</t>
        </is>
      </c>
      <c r="AB49" s="89" t="inlineStr">
        <is>
          <t>P</t>
        </is>
      </c>
      <c r="AC49" s="89" t="inlineStr">
        <is>
          <t>P</t>
        </is>
      </c>
      <c r="AD49" s="89" t="inlineStr">
        <is>
          <t>P</t>
        </is>
      </c>
      <c r="AE49" s="89" t="inlineStr">
        <is>
          <t>P</t>
        </is>
      </c>
      <c r="AF49" s="89" t="inlineStr">
        <is>
          <t>P</t>
        </is>
      </c>
      <c r="AG49" s="89" t="inlineStr">
        <is>
          <t>P</t>
        </is>
      </c>
      <c r="AH49" s="89" t="inlineStr">
        <is>
          <t>P</t>
        </is>
      </c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inlineStr">
        <is>
          <t>P</t>
        </is>
      </c>
      <c r="E50" s="89" t="inlineStr">
        <is>
          <t>P</t>
        </is>
      </c>
      <c r="F50" s="89" t="inlineStr">
        <is>
          <t>P</t>
        </is>
      </c>
      <c r="G50" s="89" t="inlineStr">
        <is>
          <t>P</t>
        </is>
      </c>
      <c r="H50" s="89" t="inlineStr">
        <is>
          <t>P</t>
        </is>
      </c>
      <c r="I50" s="89" t="inlineStr">
        <is>
          <t>P</t>
        </is>
      </c>
      <c r="J50" s="89" t="inlineStr">
        <is>
          <t>P</t>
        </is>
      </c>
      <c r="K50" s="89" t="inlineStr">
        <is>
          <t>P</t>
        </is>
      </c>
      <c r="L50" s="89" t="inlineStr">
        <is>
          <t>P</t>
        </is>
      </c>
      <c r="M50" s="89" t="inlineStr">
        <is>
          <t>P</t>
        </is>
      </c>
      <c r="N50" s="89" t="inlineStr">
        <is>
          <t>P</t>
        </is>
      </c>
      <c r="O50" s="89" t="inlineStr">
        <is>
          <t>P</t>
        </is>
      </c>
      <c r="P50" s="89" t="inlineStr">
        <is>
          <t>P</t>
        </is>
      </c>
      <c r="Q50" s="89" t="inlineStr">
        <is>
          <t>P</t>
        </is>
      </c>
      <c r="R50" s="89" t="inlineStr">
        <is>
          <t>P</t>
        </is>
      </c>
      <c r="S50" s="89" t="inlineStr">
        <is>
          <t>P</t>
        </is>
      </c>
      <c r="T50" s="89" t="inlineStr">
        <is>
          <t>P</t>
        </is>
      </c>
      <c r="U50" s="89" t="inlineStr">
        <is>
          <t>P</t>
        </is>
      </c>
      <c r="V50" s="89" t="inlineStr">
        <is>
          <t>P</t>
        </is>
      </c>
      <c r="W50" s="89" t="inlineStr">
        <is>
          <t>P</t>
        </is>
      </c>
      <c r="X50" s="89" t="inlineStr">
        <is>
          <t>P</t>
        </is>
      </c>
      <c r="Y50" s="89" t="inlineStr">
        <is>
          <t>P</t>
        </is>
      </c>
      <c r="Z50" s="89" t="inlineStr">
        <is>
          <t>P</t>
        </is>
      </c>
      <c r="AA50" s="89" t="inlineStr">
        <is>
          <t>P</t>
        </is>
      </c>
      <c r="AB50" s="89" t="inlineStr">
        <is>
          <t>P</t>
        </is>
      </c>
      <c r="AC50" s="89" t="inlineStr">
        <is>
          <t>P</t>
        </is>
      </c>
      <c r="AD50" s="89" t="inlineStr">
        <is>
          <t>P</t>
        </is>
      </c>
      <c r="AE50" s="89" t="inlineStr">
        <is>
          <t>P</t>
        </is>
      </c>
      <c r="AF50" s="89" t="inlineStr">
        <is>
          <t>P</t>
        </is>
      </c>
      <c r="AG50" s="89" t="inlineStr">
        <is>
          <t>P</t>
        </is>
      </c>
      <c r="AH50" s="121" t="inlineStr">
        <is>
          <t>UA</t>
        </is>
      </c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inlineStr">
        <is>
          <t>P</t>
        </is>
      </c>
      <c r="E51" s="89" t="inlineStr">
        <is>
          <t>P</t>
        </is>
      </c>
      <c r="F51" s="89" t="inlineStr">
        <is>
          <t>P</t>
        </is>
      </c>
      <c r="G51" s="89" t="inlineStr">
        <is>
          <t>P</t>
        </is>
      </c>
      <c r="H51" s="89" t="inlineStr">
        <is>
          <t>P</t>
        </is>
      </c>
      <c r="I51" s="89" t="inlineStr">
        <is>
          <t>P</t>
        </is>
      </c>
      <c r="J51" s="89" t="inlineStr">
        <is>
          <t>P</t>
        </is>
      </c>
      <c r="K51" s="89" t="inlineStr">
        <is>
          <t>P</t>
        </is>
      </c>
      <c r="L51" s="89" t="inlineStr">
        <is>
          <t>P</t>
        </is>
      </c>
      <c r="M51" s="89" t="inlineStr">
        <is>
          <t>P</t>
        </is>
      </c>
      <c r="N51" s="89" t="inlineStr">
        <is>
          <t>P</t>
        </is>
      </c>
      <c r="O51" s="89" t="inlineStr">
        <is>
          <t>P</t>
        </is>
      </c>
      <c r="P51" s="89" t="inlineStr">
        <is>
          <t>P</t>
        </is>
      </c>
      <c r="Q51" s="89" t="inlineStr">
        <is>
          <t>P</t>
        </is>
      </c>
      <c r="R51" s="89" t="inlineStr">
        <is>
          <t>P</t>
        </is>
      </c>
      <c r="S51" s="89" t="inlineStr">
        <is>
          <t>P</t>
        </is>
      </c>
      <c r="T51" s="89" t="inlineStr">
        <is>
          <t>P</t>
        </is>
      </c>
      <c r="U51" s="89" t="inlineStr">
        <is>
          <t>P</t>
        </is>
      </c>
      <c r="V51" s="89" t="inlineStr">
        <is>
          <t>P</t>
        </is>
      </c>
      <c r="W51" s="89" t="inlineStr">
        <is>
          <t>P</t>
        </is>
      </c>
      <c r="X51" s="89" t="inlineStr">
        <is>
          <t>P</t>
        </is>
      </c>
      <c r="Y51" s="89" t="inlineStr">
        <is>
          <t>P</t>
        </is>
      </c>
      <c r="Z51" s="89" t="inlineStr">
        <is>
          <t>P</t>
        </is>
      </c>
      <c r="AA51" s="89" t="inlineStr">
        <is>
          <t>P</t>
        </is>
      </c>
      <c r="AB51" s="89" t="inlineStr">
        <is>
          <t>P</t>
        </is>
      </c>
      <c r="AC51" s="89" t="inlineStr">
        <is>
          <t>P</t>
        </is>
      </c>
      <c r="AD51" s="89" t="inlineStr">
        <is>
          <t>P</t>
        </is>
      </c>
      <c r="AE51" s="89" t="inlineStr">
        <is>
          <t>P</t>
        </is>
      </c>
      <c r="AF51" s="89" t="inlineStr">
        <is>
          <t>P</t>
        </is>
      </c>
      <c r="AG51" s="89" t="inlineStr">
        <is>
          <t>P</t>
        </is>
      </c>
      <c r="AH51" s="89" t="inlineStr">
        <is>
          <t>P</t>
        </is>
      </c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inlineStr">
        <is>
          <t>P</t>
        </is>
      </c>
      <c r="E52" s="89" t="inlineStr">
        <is>
          <t>P</t>
        </is>
      </c>
      <c r="F52" s="89" t="inlineStr">
        <is>
          <t>P</t>
        </is>
      </c>
      <c r="G52" s="89" t="inlineStr">
        <is>
          <t>P</t>
        </is>
      </c>
      <c r="H52" s="89" t="inlineStr">
        <is>
          <t>P</t>
        </is>
      </c>
      <c r="I52" s="89" t="inlineStr">
        <is>
          <t>P</t>
        </is>
      </c>
      <c r="J52" s="89" t="inlineStr">
        <is>
          <t>P</t>
        </is>
      </c>
      <c r="K52" s="89" t="inlineStr">
        <is>
          <t>P</t>
        </is>
      </c>
      <c r="L52" s="89" t="inlineStr">
        <is>
          <t>P</t>
        </is>
      </c>
      <c r="M52" s="89" t="inlineStr">
        <is>
          <t>P</t>
        </is>
      </c>
      <c r="N52" s="89" t="inlineStr">
        <is>
          <t>P</t>
        </is>
      </c>
      <c r="O52" s="89" t="inlineStr">
        <is>
          <t>P</t>
        </is>
      </c>
      <c r="P52" s="89" t="inlineStr">
        <is>
          <t>P</t>
        </is>
      </c>
      <c r="Q52" s="89" t="inlineStr">
        <is>
          <t>P</t>
        </is>
      </c>
      <c r="R52" s="89" t="inlineStr">
        <is>
          <t>P</t>
        </is>
      </c>
      <c r="S52" s="89" t="inlineStr">
        <is>
          <t>P</t>
        </is>
      </c>
      <c r="T52" s="89" t="inlineStr">
        <is>
          <t>P</t>
        </is>
      </c>
      <c r="U52" s="89" t="inlineStr">
        <is>
          <t>P</t>
        </is>
      </c>
      <c r="V52" s="121" t="inlineStr">
        <is>
          <t>UA</t>
        </is>
      </c>
      <c r="W52" s="121" t="inlineStr">
        <is>
          <t>UA</t>
        </is>
      </c>
      <c r="X52" s="121" t="inlineStr">
        <is>
          <t>UA</t>
        </is>
      </c>
      <c r="Y52" s="121" t="inlineStr">
        <is>
          <t>UA</t>
        </is>
      </c>
      <c r="Z52" s="121" t="inlineStr">
        <is>
          <t>UA</t>
        </is>
      </c>
      <c r="AA52" s="121" t="inlineStr">
        <is>
          <t>UA</t>
        </is>
      </c>
      <c r="AB52" s="121" t="inlineStr">
        <is>
          <t>UA</t>
        </is>
      </c>
      <c r="AC52" s="121" t="inlineStr">
        <is>
          <t>UA</t>
        </is>
      </c>
      <c r="AD52" s="121" t="inlineStr">
        <is>
          <t>UA</t>
        </is>
      </c>
      <c r="AE52" s="121" t="inlineStr">
        <is>
          <t>UA</t>
        </is>
      </c>
      <c r="AF52" s="121" t="inlineStr">
        <is>
          <t>UA</t>
        </is>
      </c>
      <c r="AG52" s="121" t="inlineStr">
        <is>
          <t>UA</t>
        </is>
      </c>
      <c r="AH52" s="121" t="inlineStr">
        <is>
          <t>UA</t>
        </is>
      </c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inlineStr">
        <is>
          <t>P</t>
        </is>
      </c>
      <c r="E53" s="89" t="inlineStr">
        <is>
          <t>P</t>
        </is>
      </c>
      <c r="F53" s="89" t="inlineStr">
        <is>
          <t>P</t>
        </is>
      </c>
      <c r="G53" s="89" t="inlineStr">
        <is>
          <t>P</t>
        </is>
      </c>
      <c r="H53" s="89" t="inlineStr">
        <is>
          <t>P</t>
        </is>
      </c>
      <c r="I53" s="89" t="inlineStr">
        <is>
          <t>P</t>
        </is>
      </c>
      <c r="J53" s="89" t="inlineStr">
        <is>
          <t>P</t>
        </is>
      </c>
      <c r="K53" s="89" t="inlineStr">
        <is>
          <t>P</t>
        </is>
      </c>
      <c r="L53" s="89" t="inlineStr">
        <is>
          <t>P</t>
        </is>
      </c>
      <c r="M53" s="89" t="inlineStr">
        <is>
          <t>P</t>
        </is>
      </c>
      <c r="N53" s="89" t="inlineStr">
        <is>
          <t>P</t>
        </is>
      </c>
      <c r="O53" s="89" t="inlineStr">
        <is>
          <t>P</t>
        </is>
      </c>
      <c r="P53" s="89" t="inlineStr">
        <is>
          <t>P</t>
        </is>
      </c>
      <c r="Q53" s="89" t="inlineStr">
        <is>
          <t>P</t>
        </is>
      </c>
      <c r="R53" s="89" t="inlineStr">
        <is>
          <t>P</t>
        </is>
      </c>
      <c r="S53" s="89" t="inlineStr">
        <is>
          <t>P</t>
        </is>
      </c>
      <c r="T53" s="89" t="inlineStr">
        <is>
          <t>P</t>
        </is>
      </c>
      <c r="U53" s="89" t="inlineStr">
        <is>
          <t>P</t>
        </is>
      </c>
      <c r="V53" s="89" t="inlineStr">
        <is>
          <t>P</t>
        </is>
      </c>
      <c r="W53" s="89" t="inlineStr">
        <is>
          <t>P</t>
        </is>
      </c>
      <c r="X53" s="89" t="inlineStr">
        <is>
          <t>P</t>
        </is>
      </c>
      <c r="Y53" s="89" t="inlineStr">
        <is>
          <t>P</t>
        </is>
      </c>
      <c r="Z53" s="89" t="inlineStr">
        <is>
          <t>P</t>
        </is>
      </c>
      <c r="AA53" s="89" t="inlineStr">
        <is>
          <t>P</t>
        </is>
      </c>
      <c r="AB53" s="89" t="inlineStr">
        <is>
          <t>P</t>
        </is>
      </c>
      <c r="AC53" s="89" t="inlineStr">
        <is>
          <t>P</t>
        </is>
      </c>
      <c r="AD53" s="89" t="inlineStr">
        <is>
          <t>P</t>
        </is>
      </c>
      <c r="AE53" s="89" t="inlineStr">
        <is>
          <t>P</t>
        </is>
      </c>
      <c r="AF53" s="89" t="inlineStr">
        <is>
          <t>P</t>
        </is>
      </c>
      <c r="AG53" s="89" t="inlineStr">
        <is>
          <t>P</t>
        </is>
      </c>
      <c r="AH53" s="89" t="inlineStr">
        <is>
          <t>P</t>
        </is>
      </c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inlineStr">
        <is>
          <t>AA</t>
        </is>
      </c>
      <c r="E54" s="89" t="inlineStr">
        <is>
          <t>AA</t>
        </is>
      </c>
      <c r="F54" s="89" t="inlineStr">
        <is>
          <t>AA</t>
        </is>
      </c>
      <c r="G54" s="89" t="inlineStr">
        <is>
          <t>AA</t>
        </is>
      </c>
      <c r="H54" s="89" t="inlineStr">
        <is>
          <t>AA</t>
        </is>
      </c>
      <c r="I54" s="89" t="inlineStr">
        <is>
          <t>AA</t>
        </is>
      </c>
      <c r="J54" s="89" t="inlineStr">
        <is>
          <t>AA</t>
        </is>
      </c>
      <c r="K54" s="89" t="inlineStr">
        <is>
          <t>AA</t>
        </is>
      </c>
      <c r="L54" s="89" t="inlineStr">
        <is>
          <t>AA</t>
        </is>
      </c>
      <c r="M54" s="89" t="inlineStr">
        <is>
          <t>AA</t>
        </is>
      </c>
      <c r="N54" s="89" t="inlineStr">
        <is>
          <t>AA</t>
        </is>
      </c>
      <c r="O54" s="89" t="inlineStr">
        <is>
          <t>AA</t>
        </is>
      </c>
      <c r="P54" s="89" t="inlineStr">
        <is>
          <t>AA</t>
        </is>
      </c>
      <c r="Q54" s="89" t="inlineStr">
        <is>
          <t>AA</t>
        </is>
      </c>
      <c r="R54" s="89" t="inlineStr">
        <is>
          <t>AA</t>
        </is>
      </c>
      <c r="S54" s="89" t="inlineStr">
        <is>
          <t>AA</t>
        </is>
      </c>
      <c r="T54" s="89" t="inlineStr">
        <is>
          <t>AA</t>
        </is>
      </c>
      <c r="U54" s="89" t="inlineStr">
        <is>
          <t>AA</t>
        </is>
      </c>
      <c r="V54" s="89" t="inlineStr">
        <is>
          <t>AA</t>
        </is>
      </c>
      <c r="W54" s="89" t="inlineStr">
        <is>
          <t>AA</t>
        </is>
      </c>
      <c r="X54" s="89" t="inlineStr">
        <is>
          <t>AA</t>
        </is>
      </c>
      <c r="Y54" s="89" t="inlineStr">
        <is>
          <t>AA</t>
        </is>
      </c>
      <c r="Z54" s="89" t="inlineStr">
        <is>
          <t>AA</t>
        </is>
      </c>
      <c r="AA54" s="89" t="inlineStr">
        <is>
          <t>AA</t>
        </is>
      </c>
      <c r="AB54" s="89" t="inlineStr">
        <is>
          <t>AA</t>
        </is>
      </c>
      <c r="AC54" s="89" t="inlineStr">
        <is>
          <t>AA</t>
        </is>
      </c>
      <c r="AD54" s="89" t="inlineStr">
        <is>
          <t>AA</t>
        </is>
      </c>
      <c r="AE54" s="89" t="inlineStr">
        <is>
          <t>AA</t>
        </is>
      </c>
      <c r="AF54" s="89" t="inlineStr">
        <is>
          <t>AA</t>
        </is>
      </c>
      <c r="AG54" s="89" t="inlineStr">
        <is>
          <t>AA</t>
        </is>
      </c>
      <c r="AH54" s="89" t="inlineStr">
        <is>
          <t>AA</t>
        </is>
      </c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inlineStr">
        <is>
          <t>P</t>
        </is>
      </c>
      <c r="E55" s="89" t="inlineStr">
        <is>
          <t>P</t>
        </is>
      </c>
      <c r="F55" s="89" t="inlineStr">
        <is>
          <t>P</t>
        </is>
      </c>
      <c r="G55" s="121" t="inlineStr">
        <is>
          <t>UA</t>
        </is>
      </c>
      <c r="H55" s="89" t="inlineStr">
        <is>
          <t>P</t>
        </is>
      </c>
      <c r="I55" s="89" t="inlineStr">
        <is>
          <t>P</t>
        </is>
      </c>
      <c r="J55" s="89" t="inlineStr">
        <is>
          <t>P</t>
        </is>
      </c>
      <c r="K55" s="89" t="inlineStr">
        <is>
          <t>P</t>
        </is>
      </c>
      <c r="L55" s="89" t="inlineStr">
        <is>
          <t>P</t>
        </is>
      </c>
      <c r="M55" s="89" t="inlineStr">
        <is>
          <t>P</t>
        </is>
      </c>
      <c r="N55" s="89" t="inlineStr">
        <is>
          <t>P</t>
        </is>
      </c>
      <c r="O55" s="89" t="inlineStr">
        <is>
          <t>P</t>
        </is>
      </c>
      <c r="P55" s="89" t="inlineStr">
        <is>
          <t>P</t>
        </is>
      </c>
      <c r="Q55" s="89" t="inlineStr">
        <is>
          <t>P</t>
        </is>
      </c>
      <c r="R55" s="89" t="inlineStr">
        <is>
          <t>P</t>
        </is>
      </c>
      <c r="S55" s="89" t="inlineStr">
        <is>
          <t>P</t>
        </is>
      </c>
      <c r="T55" s="89" t="inlineStr">
        <is>
          <t>P</t>
        </is>
      </c>
      <c r="U55" s="89" t="inlineStr">
        <is>
          <t>P</t>
        </is>
      </c>
      <c r="V55" s="89" t="inlineStr">
        <is>
          <t>P</t>
        </is>
      </c>
      <c r="W55" s="89" t="inlineStr">
        <is>
          <t>P</t>
        </is>
      </c>
      <c r="X55" s="89" t="inlineStr">
        <is>
          <t>P</t>
        </is>
      </c>
      <c r="Y55" s="89" t="inlineStr">
        <is>
          <t>P</t>
        </is>
      </c>
      <c r="Z55" s="89" t="inlineStr">
        <is>
          <t>P</t>
        </is>
      </c>
      <c r="AA55" s="89" t="inlineStr">
        <is>
          <t>P</t>
        </is>
      </c>
      <c r="AB55" s="89" t="inlineStr">
        <is>
          <t>P</t>
        </is>
      </c>
      <c r="AC55" s="89" t="inlineStr">
        <is>
          <t>P</t>
        </is>
      </c>
      <c r="AD55" s="89" t="inlineStr">
        <is>
          <t>P</t>
        </is>
      </c>
      <c r="AE55" s="121" t="inlineStr">
        <is>
          <t>UA</t>
        </is>
      </c>
      <c r="AF55" s="121" t="inlineStr">
        <is>
          <t>UA</t>
        </is>
      </c>
      <c r="AG55" s="121" t="inlineStr">
        <is>
          <t>UA</t>
        </is>
      </c>
      <c r="AH55" s="121" t="inlineStr">
        <is>
          <t>UA</t>
        </is>
      </c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inlineStr">
        <is>
          <t>P</t>
        </is>
      </c>
      <c r="E56" s="89" t="inlineStr">
        <is>
          <t>P</t>
        </is>
      </c>
      <c r="F56" s="89" t="inlineStr">
        <is>
          <t>P</t>
        </is>
      </c>
      <c r="G56" s="89" t="inlineStr">
        <is>
          <t>P</t>
        </is>
      </c>
      <c r="H56" s="89" t="inlineStr">
        <is>
          <t>P</t>
        </is>
      </c>
      <c r="I56" s="89" t="inlineStr">
        <is>
          <t>P</t>
        </is>
      </c>
      <c r="J56" s="89" t="inlineStr">
        <is>
          <t>P</t>
        </is>
      </c>
      <c r="K56" s="89" t="inlineStr">
        <is>
          <t>P</t>
        </is>
      </c>
      <c r="L56" s="89" t="inlineStr">
        <is>
          <t>P</t>
        </is>
      </c>
      <c r="M56" s="89" t="inlineStr">
        <is>
          <t>P</t>
        </is>
      </c>
      <c r="N56" s="89" t="inlineStr">
        <is>
          <t>P</t>
        </is>
      </c>
      <c r="O56" s="89" t="inlineStr">
        <is>
          <t>P</t>
        </is>
      </c>
      <c r="P56" s="89" t="inlineStr">
        <is>
          <t>P</t>
        </is>
      </c>
      <c r="Q56" s="89" t="inlineStr">
        <is>
          <t>P</t>
        </is>
      </c>
      <c r="R56" s="89" t="inlineStr">
        <is>
          <t>P</t>
        </is>
      </c>
      <c r="S56" s="89" t="inlineStr">
        <is>
          <t>P</t>
        </is>
      </c>
      <c r="T56" s="89" t="inlineStr">
        <is>
          <t>P</t>
        </is>
      </c>
      <c r="U56" s="89" t="inlineStr">
        <is>
          <t>P</t>
        </is>
      </c>
      <c r="V56" s="89" t="inlineStr">
        <is>
          <t>P</t>
        </is>
      </c>
      <c r="W56" s="89" t="inlineStr">
        <is>
          <t>P</t>
        </is>
      </c>
      <c r="X56" s="89" t="inlineStr">
        <is>
          <t>P</t>
        </is>
      </c>
      <c r="Y56" s="89" t="inlineStr">
        <is>
          <t>P</t>
        </is>
      </c>
      <c r="Z56" s="89" t="inlineStr">
        <is>
          <t>P</t>
        </is>
      </c>
      <c r="AA56" s="89" t="inlineStr">
        <is>
          <t>P</t>
        </is>
      </c>
      <c r="AB56" s="89" t="inlineStr">
        <is>
          <t>P</t>
        </is>
      </c>
      <c r="AC56" s="121" t="inlineStr">
        <is>
          <t>UA</t>
        </is>
      </c>
      <c r="AD56" s="89" t="inlineStr">
        <is>
          <t>P</t>
        </is>
      </c>
      <c r="AE56" s="89" t="inlineStr">
        <is>
          <t>P</t>
        </is>
      </c>
      <c r="AF56" s="89" t="inlineStr">
        <is>
          <t>P</t>
        </is>
      </c>
      <c r="AG56" s="89" t="inlineStr">
        <is>
          <t>P</t>
        </is>
      </c>
      <c r="AH56" s="89" t="inlineStr">
        <is>
          <t>P</t>
        </is>
      </c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inlineStr">
        <is>
          <t>P</t>
        </is>
      </c>
      <c r="E57" s="89" t="inlineStr">
        <is>
          <t>P</t>
        </is>
      </c>
      <c r="F57" s="89" t="inlineStr">
        <is>
          <t>P</t>
        </is>
      </c>
      <c r="G57" s="89" t="inlineStr">
        <is>
          <t>P</t>
        </is>
      </c>
      <c r="H57" s="89" t="inlineStr">
        <is>
          <t>P</t>
        </is>
      </c>
      <c r="I57" s="89" t="inlineStr">
        <is>
          <t>P</t>
        </is>
      </c>
      <c r="J57" s="89" t="inlineStr">
        <is>
          <t>P</t>
        </is>
      </c>
      <c r="K57" s="89" t="inlineStr">
        <is>
          <t>P</t>
        </is>
      </c>
      <c r="L57" s="89" t="inlineStr">
        <is>
          <t>P</t>
        </is>
      </c>
      <c r="M57" s="89" t="inlineStr">
        <is>
          <t>P</t>
        </is>
      </c>
      <c r="N57" s="89" t="inlineStr">
        <is>
          <t>P</t>
        </is>
      </c>
      <c r="O57" s="89" t="inlineStr">
        <is>
          <t>P</t>
        </is>
      </c>
      <c r="P57" s="89" t="inlineStr">
        <is>
          <t>P</t>
        </is>
      </c>
      <c r="Q57" s="89" t="inlineStr">
        <is>
          <t>P</t>
        </is>
      </c>
      <c r="R57" s="89" t="inlineStr">
        <is>
          <t>P</t>
        </is>
      </c>
      <c r="S57" s="89" t="inlineStr">
        <is>
          <t>P</t>
        </is>
      </c>
      <c r="T57" s="89" t="inlineStr">
        <is>
          <t>P</t>
        </is>
      </c>
      <c r="U57" s="89" t="inlineStr">
        <is>
          <t>P</t>
        </is>
      </c>
      <c r="V57" s="89" t="inlineStr">
        <is>
          <t>P</t>
        </is>
      </c>
      <c r="W57" s="89" t="inlineStr">
        <is>
          <t>P</t>
        </is>
      </c>
      <c r="X57" s="89" t="inlineStr">
        <is>
          <t>P</t>
        </is>
      </c>
      <c r="Y57" s="89" t="inlineStr">
        <is>
          <t>P</t>
        </is>
      </c>
      <c r="Z57" s="89" t="inlineStr">
        <is>
          <t>P</t>
        </is>
      </c>
      <c r="AA57" s="89" t="inlineStr">
        <is>
          <t>P</t>
        </is>
      </c>
      <c r="AB57" s="89" t="inlineStr">
        <is>
          <t>P</t>
        </is>
      </c>
      <c r="AC57" s="89" t="inlineStr">
        <is>
          <t>P</t>
        </is>
      </c>
      <c r="AD57" s="89" t="inlineStr">
        <is>
          <t>P</t>
        </is>
      </c>
      <c r="AE57" s="89" t="inlineStr">
        <is>
          <t>P</t>
        </is>
      </c>
      <c r="AF57" s="89" t="inlineStr">
        <is>
          <t>P</t>
        </is>
      </c>
      <c r="AG57" s="89" t="inlineStr">
        <is>
          <t>P</t>
        </is>
      </c>
      <c r="AH57" s="89" t="inlineStr">
        <is>
          <t>P</t>
        </is>
      </c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inlineStr">
        <is>
          <t>P</t>
        </is>
      </c>
      <c r="E58" s="89" t="inlineStr">
        <is>
          <t>P</t>
        </is>
      </c>
      <c r="F58" s="89" t="inlineStr">
        <is>
          <t>P</t>
        </is>
      </c>
      <c r="G58" s="89" t="inlineStr">
        <is>
          <t>P</t>
        </is>
      </c>
      <c r="H58" s="89" t="inlineStr">
        <is>
          <t>P</t>
        </is>
      </c>
      <c r="I58" s="89" t="inlineStr">
        <is>
          <t>P</t>
        </is>
      </c>
      <c r="J58" s="89" t="inlineStr">
        <is>
          <t>P</t>
        </is>
      </c>
      <c r="K58" s="89" t="inlineStr">
        <is>
          <t>P</t>
        </is>
      </c>
      <c r="L58" s="89" t="inlineStr">
        <is>
          <t>P</t>
        </is>
      </c>
      <c r="M58" s="89" t="inlineStr">
        <is>
          <t>P</t>
        </is>
      </c>
      <c r="N58" s="89" t="inlineStr">
        <is>
          <t>P</t>
        </is>
      </c>
      <c r="O58" s="89" t="inlineStr">
        <is>
          <t>P</t>
        </is>
      </c>
      <c r="P58" s="89" t="inlineStr">
        <is>
          <t>P</t>
        </is>
      </c>
      <c r="Q58" s="89" t="inlineStr">
        <is>
          <t>P</t>
        </is>
      </c>
      <c r="R58" s="89" t="inlineStr">
        <is>
          <t>P</t>
        </is>
      </c>
      <c r="S58" s="89" t="inlineStr">
        <is>
          <t>P</t>
        </is>
      </c>
      <c r="T58" s="89" t="inlineStr">
        <is>
          <t>P</t>
        </is>
      </c>
      <c r="U58" s="89" t="inlineStr">
        <is>
          <t>P</t>
        </is>
      </c>
      <c r="V58" s="89" t="inlineStr">
        <is>
          <t>P</t>
        </is>
      </c>
      <c r="W58" s="89" t="inlineStr">
        <is>
          <t>P</t>
        </is>
      </c>
      <c r="X58" s="89" t="inlineStr">
        <is>
          <t>P</t>
        </is>
      </c>
      <c r="Y58" s="89" t="inlineStr">
        <is>
          <t>P</t>
        </is>
      </c>
      <c r="Z58" s="89" t="inlineStr">
        <is>
          <t>P</t>
        </is>
      </c>
      <c r="AA58" s="89" t="inlineStr">
        <is>
          <t>P</t>
        </is>
      </c>
      <c r="AB58" s="89" t="inlineStr">
        <is>
          <t>P</t>
        </is>
      </c>
      <c r="AC58" s="89" t="inlineStr">
        <is>
          <t>P</t>
        </is>
      </c>
      <c r="AD58" s="121" t="inlineStr">
        <is>
          <t>UA</t>
        </is>
      </c>
      <c r="AE58" s="89" t="inlineStr">
        <is>
          <t>P</t>
        </is>
      </c>
      <c r="AF58" s="89" t="inlineStr">
        <is>
          <t>P</t>
        </is>
      </c>
      <c r="AG58" s="89" t="inlineStr">
        <is>
          <t>P</t>
        </is>
      </c>
      <c r="AH58" s="89" t="inlineStr">
        <is>
          <t>P</t>
        </is>
      </c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inlineStr">
        <is>
          <t>P</t>
        </is>
      </c>
      <c r="E59" s="89" t="inlineStr">
        <is>
          <t>P</t>
        </is>
      </c>
      <c r="F59" s="89" t="inlineStr">
        <is>
          <t>P</t>
        </is>
      </c>
      <c r="G59" s="89" t="inlineStr">
        <is>
          <t>P</t>
        </is>
      </c>
      <c r="H59" s="89" t="inlineStr">
        <is>
          <t>P</t>
        </is>
      </c>
      <c r="I59" s="89" t="inlineStr">
        <is>
          <t>P</t>
        </is>
      </c>
      <c r="J59" s="89" t="inlineStr">
        <is>
          <t>P</t>
        </is>
      </c>
      <c r="K59" s="89" t="inlineStr">
        <is>
          <t>P</t>
        </is>
      </c>
      <c r="L59" s="89" t="inlineStr">
        <is>
          <t>P</t>
        </is>
      </c>
      <c r="M59" s="89" t="inlineStr">
        <is>
          <t>P</t>
        </is>
      </c>
      <c r="N59" s="89" t="inlineStr">
        <is>
          <t>P</t>
        </is>
      </c>
      <c r="O59" s="89" t="inlineStr">
        <is>
          <t>P</t>
        </is>
      </c>
      <c r="P59" s="89" t="inlineStr">
        <is>
          <t>P</t>
        </is>
      </c>
      <c r="Q59" s="89" t="inlineStr">
        <is>
          <t>P</t>
        </is>
      </c>
      <c r="R59" s="89" t="inlineStr">
        <is>
          <t>P</t>
        </is>
      </c>
      <c r="S59" s="89" t="inlineStr">
        <is>
          <t>P</t>
        </is>
      </c>
      <c r="T59" s="89" t="inlineStr">
        <is>
          <t>P</t>
        </is>
      </c>
      <c r="U59" s="89" t="inlineStr">
        <is>
          <t>P</t>
        </is>
      </c>
      <c r="V59" s="89" t="inlineStr">
        <is>
          <t>P</t>
        </is>
      </c>
      <c r="W59" s="89" t="inlineStr">
        <is>
          <t>P</t>
        </is>
      </c>
      <c r="X59" s="89" t="inlineStr">
        <is>
          <t>P</t>
        </is>
      </c>
      <c r="Y59" s="89" t="inlineStr">
        <is>
          <t>P</t>
        </is>
      </c>
      <c r="Z59" s="89" t="inlineStr">
        <is>
          <t>P</t>
        </is>
      </c>
      <c r="AA59" s="89" t="inlineStr">
        <is>
          <t>P</t>
        </is>
      </c>
      <c r="AB59" s="89" t="inlineStr">
        <is>
          <t>P</t>
        </is>
      </c>
      <c r="AC59" s="89" t="inlineStr">
        <is>
          <t>P</t>
        </is>
      </c>
      <c r="AD59" s="89" t="inlineStr">
        <is>
          <t>P</t>
        </is>
      </c>
      <c r="AE59" s="89" t="inlineStr">
        <is>
          <t>P</t>
        </is>
      </c>
      <c r="AF59" s="89" t="inlineStr">
        <is>
          <t>P</t>
        </is>
      </c>
      <c r="AG59" s="89" t="inlineStr">
        <is>
          <t>P</t>
        </is>
      </c>
      <c r="AH59" s="89" t="inlineStr">
        <is>
          <t>P</t>
        </is>
      </c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inlineStr">
        <is>
          <t>P</t>
        </is>
      </c>
      <c r="E60" s="89" t="inlineStr">
        <is>
          <t>P</t>
        </is>
      </c>
      <c r="F60" s="89" t="inlineStr">
        <is>
          <t>P</t>
        </is>
      </c>
      <c r="G60" s="89" t="inlineStr">
        <is>
          <t>P</t>
        </is>
      </c>
      <c r="H60" s="89" t="inlineStr">
        <is>
          <t>P</t>
        </is>
      </c>
      <c r="I60" s="89" t="inlineStr">
        <is>
          <t>P</t>
        </is>
      </c>
      <c r="J60" s="89" t="inlineStr">
        <is>
          <t>P</t>
        </is>
      </c>
      <c r="K60" s="89" t="inlineStr">
        <is>
          <t>P</t>
        </is>
      </c>
      <c r="L60" s="89" t="inlineStr">
        <is>
          <t>P</t>
        </is>
      </c>
      <c r="M60" s="89" t="inlineStr">
        <is>
          <t>P</t>
        </is>
      </c>
      <c r="N60" s="89" t="inlineStr">
        <is>
          <t>P</t>
        </is>
      </c>
      <c r="O60" s="89" t="inlineStr">
        <is>
          <t>P</t>
        </is>
      </c>
      <c r="P60" s="89" t="inlineStr">
        <is>
          <t>P</t>
        </is>
      </c>
      <c r="Q60" s="89" t="inlineStr">
        <is>
          <t>P</t>
        </is>
      </c>
      <c r="R60" s="89" t="inlineStr">
        <is>
          <t>P</t>
        </is>
      </c>
      <c r="S60" s="89" t="inlineStr">
        <is>
          <t>P</t>
        </is>
      </c>
      <c r="T60" s="89" t="inlineStr">
        <is>
          <t>P</t>
        </is>
      </c>
      <c r="U60" s="89" t="inlineStr">
        <is>
          <t>P</t>
        </is>
      </c>
      <c r="V60" s="121" t="inlineStr">
        <is>
          <t>UA</t>
        </is>
      </c>
      <c r="W60" s="121" t="inlineStr">
        <is>
          <t>UA</t>
        </is>
      </c>
      <c r="X60" s="121" t="inlineStr">
        <is>
          <t>UA</t>
        </is>
      </c>
      <c r="Y60" s="121" t="inlineStr">
        <is>
          <t>UA</t>
        </is>
      </c>
      <c r="Z60" s="121" t="inlineStr">
        <is>
          <t>UA</t>
        </is>
      </c>
      <c r="AA60" s="121" t="inlineStr">
        <is>
          <t>UA</t>
        </is>
      </c>
      <c r="AB60" s="121" t="inlineStr">
        <is>
          <t>UA</t>
        </is>
      </c>
      <c r="AC60" s="121" t="inlineStr">
        <is>
          <t>UA</t>
        </is>
      </c>
      <c r="AD60" s="121" t="inlineStr">
        <is>
          <t>UA</t>
        </is>
      </c>
      <c r="AE60" s="121" t="inlineStr">
        <is>
          <t>UA</t>
        </is>
      </c>
      <c r="AF60" s="121" t="inlineStr">
        <is>
          <t>UA</t>
        </is>
      </c>
      <c r="AG60" s="121" t="inlineStr">
        <is>
          <t>UA</t>
        </is>
      </c>
      <c r="AH60" s="121" t="inlineStr">
        <is>
          <t>UA</t>
        </is>
      </c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inlineStr">
        <is>
          <t>P</t>
        </is>
      </c>
      <c r="E61" s="89" t="inlineStr">
        <is>
          <t>P</t>
        </is>
      </c>
      <c r="F61" s="89" t="inlineStr">
        <is>
          <t>P</t>
        </is>
      </c>
      <c r="G61" s="89" t="inlineStr">
        <is>
          <t>P</t>
        </is>
      </c>
      <c r="H61" s="89" t="inlineStr">
        <is>
          <t>P</t>
        </is>
      </c>
      <c r="I61" s="89" t="inlineStr">
        <is>
          <t>P</t>
        </is>
      </c>
      <c r="J61" s="89" t="inlineStr">
        <is>
          <t>P</t>
        </is>
      </c>
      <c r="K61" s="89" t="inlineStr">
        <is>
          <t>P</t>
        </is>
      </c>
      <c r="L61" s="89" t="inlineStr">
        <is>
          <t>P</t>
        </is>
      </c>
      <c r="M61" s="89" t="inlineStr">
        <is>
          <t>P</t>
        </is>
      </c>
      <c r="N61" s="89" t="inlineStr">
        <is>
          <t>P</t>
        </is>
      </c>
      <c r="O61" s="89" t="inlineStr">
        <is>
          <t>P</t>
        </is>
      </c>
      <c r="P61" s="89" t="inlineStr">
        <is>
          <t>P</t>
        </is>
      </c>
      <c r="Q61" s="89" t="inlineStr">
        <is>
          <t>P</t>
        </is>
      </c>
      <c r="R61" s="89" t="inlineStr">
        <is>
          <t>P</t>
        </is>
      </c>
      <c r="S61" s="89" t="inlineStr">
        <is>
          <t>P</t>
        </is>
      </c>
      <c r="T61" s="89" t="inlineStr">
        <is>
          <t>P</t>
        </is>
      </c>
      <c r="U61" s="89" t="inlineStr">
        <is>
          <t>P</t>
        </is>
      </c>
      <c r="V61" s="89" t="inlineStr">
        <is>
          <t>P</t>
        </is>
      </c>
      <c r="W61" s="89" t="inlineStr">
        <is>
          <t>P</t>
        </is>
      </c>
      <c r="X61" s="89" t="inlineStr">
        <is>
          <t>P</t>
        </is>
      </c>
      <c r="Y61" s="89" t="inlineStr">
        <is>
          <t>P</t>
        </is>
      </c>
      <c r="Z61" s="89" t="inlineStr">
        <is>
          <t>P</t>
        </is>
      </c>
      <c r="AA61" s="89" t="inlineStr">
        <is>
          <t>P</t>
        </is>
      </c>
      <c r="AB61" s="89" t="inlineStr">
        <is>
          <t>P</t>
        </is>
      </c>
      <c r="AC61" s="89" t="inlineStr">
        <is>
          <t>P</t>
        </is>
      </c>
      <c r="AD61" s="89" t="inlineStr">
        <is>
          <t>P</t>
        </is>
      </c>
      <c r="AE61" s="89" t="inlineStr">
        <is>
          <t>P</t>
        </is>
      </c>
      <c r="AF61" s="89" t="inlineStr">
        <is>
          <t>P</t>
        </is>
      </c>
      <c r="AG61" s="89" t="inlineStr">
        <is>
          <t>P</t>
        </is>
      </c>
      <c r="AH61" s="89" t="inlineStr">
        <is>
          <t>P</t>
        </is>
      </c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inlineStr">
        <is>
          <t>P</t>
        </is>
      </c>
      <c r="E62" s="89" t="inlineStr">
        <is>
          <t>P</t>
        </is>
      </c>
      <c r="F62" s="89" t="inlineStr">
        <is>
          <t>P</t>
        </is>
      </c>
      <c r="G62" s="89" t="inlineStr">
        <is>
          <t>P</t>
        </is>
      </c>
      <c r="H62" s="89" t="inlineStr">
        <is>
          <t>P</t>
        </is>
      </c>
      <c r="I62" s="89" t="inlineStr">
        <is>
          <t>P</t>
        </is>
      </c>
      <c r="J62" s="89" t="inlineStr">
        <is>
          <t>P</t>
        </is>
      </c>
      <c r="K62" s="89" t="inlineStr">
        <is>
          <t>P</t>
        </is>
      </c>
      <c r="L62" s="89" t="inlineStr">
        <is>
          <t>P</t>
        </is>
      </c>
      <c r="M62" s="89" t="inlineStr">
        <is>
          <t>P</t>
        </is>
      </c>
      <c r="N62" s="89" t="inlineStr">
        <is>
          <t>P</t>
        </is>
      </c>
      <c r="O62" s="89" t="inlineStr">
        <is>
          <t>P</t>
        </is>
      </c>
      <c r="P62" s="89" t="inlineStr">
        <is>
          <t>P</t>
        </is>
      </c>
      <c r="Q62" s="89" t="inlineStr">
        <is>
          <t>P</t>
        </is>
      </c>
      <c r="R62" s="89" t="inlineStr">
        <is>
          <t>P</t>
        </is>
      </c>
      <c r="S62" s="89" t="inlineStr">
        <is>
          <t>P</t>
        </is>
      </c>
      <c r="T62" s="89" t="inlineStr">
        <is>
          <t>P</t>
        </is>
      </c>
      <c r="U62" s="89" t="inlineStr">
        <is>
          <t>P</t>
        </is>
      </c>
      <c r="V62" s="89" t="inlineStr">
        <is>
          <t>P</t>
        </is>
      </c>
      <c r="W62" s="89" t="inlineStr">
        <is>
          <t>P</t>
        </is>
      </c>
      <c r="X62" s="89" t="inlineStr">
        <is>
          <t>P</t>
        </is>
      </c>
      <c r="Y62" s="89" t="inlineStr">
        <is>
          <t>P</t>
        </is>
      </c>
      <c r="Z62" s="89" t="inlineStr">
        <is>
          <t>P</t>
        </is>
      </c>
      <c r="AA62" s="89" t="inlineStr">
        <is>
          <t>P</t>
        </is>
      </c>
      <c r="AB62" s="89" t="inlineStr">
        <is>
          <t>P</t>
        </is>
      </c>
      <c r="AC62" s="89" t="inlineStr">
        <is>
          <t>P</t>
        </is>
      </c>
      <c r="AD62" s="89" t="inlineStr">
        <is>
          <t>P</t>
        </is>
      </c>
      <c r="AE62" s="89" t="inlineStr">
        <is>
          <t>P</t>
        </is>
      </c>
      <c r="AF62" s="89" t="inlineStr">
        <is>
          <t>P</t>
        </is>
      </c>
      <c r="AG62" s="89" t="inlineStr">
        <is>
          <t>P</t>
        </is>
      </c>
      <c r="AH62" s="89" t="inlineStr">
        <is>
          <t>P</t>
        </is>
      </c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inlineStr">
        <is>
          <t>P</t>
        </is>
      </c>
      <c r="E63" s="89" t="inlineStr">
        <is>
          <t>P</t>
        </is>
      </c>
      <c r="F63" s="89" t="inlineStr">
        <is>
          <t>P</t>
        </is>
      </c>
      <c r="G63" s="89" t="inlineStr">
        <is>
          <t>P</t>
        </is>
      </c>
      <c r="H63" s="121" t="inlineStr">
        <is>
          <t>UA</t>
        </is>
      </c>
      <c r="I63" s="121" t="inlineStr">
        <is>
          <t>UA</t>
        </is>
      </c>
      <c r="J63" s="121" t="inlineStr">
        <is>
          <t>UA</t>
        </is>
      </c>
      <c r="K63" s="121" t="inlineStr">
        <is>
          <t>UA</t>
        </is>
      </c>
      <c r="L63" s="121" t="inlineStr">
        <is>
          <t>UA</t>
        </is>
      </c>
      <c r="M63" s="121" t="inlineStr">
        <is>
          <t>UA</t>
        </is>
      </c>
      <c r="N63" s="121" t="inlineStr">
        <is>
          <t>UA</t>
        </is>
      </c>
      <c r="O63" s="121" t="inlineStr">
        <is>
          <t>UA</t>
        </is>
      </c>
      <c r="P63" s="89" t="inlineStr">
        <is>
          <t>P</t>
        </is>
      </c>
      <c r="Q63" s="89" t="inlineStr">
        <is>
          <t>P</t>
        </is>
      </c>
      <c r="R63" s="89" t="inlineStr">
        <is>
          <t>P</t>
        </is>
      </c>
      <c r="S63" s="89" t="inlineStr">
        <is>
          <t>P</t>
        </is>
      </c>
      <c r="T63" s="89" t="inlineStr">
        <is>
          <t>P</t>
        </is>
      </c>
      <c r="U63" s="89" t="inlineStr">
        <is>
          <t>P</t>
        </is>
      </c>
      <c r="V63" s="89" t="inlineStr">
        <is>
          <t>P</t>
        </is>
      </c>
      <c r="W63" s="89" t="inlineStr">
        <is>
          <t>P</t>
        </is>
      </c>
      <c r="X63" s="89" t="inlineStr">
        <is>
          <t>P</t>
        </is>
      </c>
      <c r="Y63" s="89" t="inlineStr">
        <is>
          <t>P</t>
        </is>
      </c>
      <c r="Z63" s="89" t="inlineStr">
        <is>
          <t>P</t>
        </is>
      </c>
      <c r="AA63" s="89" t="inlineStr">
        <is>
          <t>P</t>
        </is>
      </c>
      <c r="AB63" s="89" t="inlineStr">
        <is>
          <t>P</t>
        </is>
      </c>
      <c r="AC63" s="89" t="inlineStr">
        <is>
          <t>P</t>
        </is>
      </c>
      <c r="AD63" s="89" t="inlineStr">
        <is>
          <t>P</t>
        </is>
      </c>
      <c r="AE63" s="89" t="inlineStr">
        <is>
          <t>P</t>
        </is>
      </c>
      <c r="AF63" s="89" t="inlineStr">
        <is>
          <t>P</t>
        </is>
      </c>
      <c r="AG63" s="89" t="inlineStr">
        <is>
          <t>P</t>
        </is>
      </c>
      <c r="AH63" s="89" t="inlineStr">
        <is>
          <t>P</t>
        </is>
      </c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inlineStr">
        <is>
          <t>P</t>
        </is>
      </c>
      <c r="E64" s="89" t="inlineStr">
        <is>
          <t>P</t>
        </is>
      </c>
      <c r="F64" s="89" t="inlineStr">
        <is>
          <t>P</t>
        </is>
      </c>
      <c r="G64" s="89" t="inlineStr">
        <is>
          <t>P</t>
        </is>
      </c>
      <c r="H64" s="89" t="inlineStr">
        <is>
          <t>P</t>
        </is>
      </c>
      <c r="I64" s="89" t="inlineStr">
        <is>
          <t>P</t>
        </is>
      </c>
      <c r="J64" s="89" t="inlineStr">
        <is>
          <t>P</t>
        </is>
      </c>
      <c r="K64" s="89" t="inlineStr">
        <is>
          <t>P</t>
        </is>
      </c>
      <c r="L64" s="89" t="inlineStr">
        <is>
          <t>P</t>
        </is>
      </c>
      <c r="M64" s="89" t="inlineStr">
        <is>
          <t>P</t>
        </is>
      </c>
      <c r="N64" s="89" t="inlineStr">
        <is>
          <t>P</t>
        </is>
      </c>
      <c r="O64" s="89" t="inlineStr">
        <is>
          <t>P</t>
        </is>
      </c>
      <c r="P64" s="89" t="inlineStr">
        <is>
          <t>P</t>
        </is>
      </c>
      <c r="Q64" s="89" t="inlineStr">
        <is>
          <t>P</t>
        </is>
      </c>
      <c r="R64" s="89" t="inlineStr">
        <is>
          <t>P</t>
        </is>
      </c>
      <c r="S64" s="89" t="inlineStr">
        <is>
          <t>P</t>
        </is>
      </c>
      <c r="T64" s="89" t="inlineStr">
        <is>
          <t>P</t>
        </is>
      </c>
      <c r="U64" s="89" t="inlineStr">
        <is>
          <t>P</t>
        </is>
      </c>
      <c r="V64" s="89" t="inlineStr">
        <is>
          <t>P</t>
        </is>
      </c>
      <c r="W64" s="89" t="inlineStr">
        <is>
          <t>P</t>
        </is>
      </c>
      <c r="X64" s="89" t="inlineStr">
        <is>
          <t>P</t>
        </is>
      </c>
      <c r="Y64" s="89" t="inlineStr">
        <is>
          <t>P</t>
        </is>
      </c>
      <c r="Z64" s="89" t="inlineStr">
        <is>
          <t>P</t>
        </is>
      </c>
      <c r="AA64" s="89" t="inlineStr">
        <is>
          <t>P</t>
        </is>
      </c>
      <c r="AB64" s="89" t="inlineStr">
        <is>
          <t>P</t>
        </is>
      </c>
      <c r="AC64" s="89" t="inlineStr">
        <is>
          <t>P</t>
        </is>
      </c>
      <c r="AD64" s="89" t="inlineStr">
        <is>
          <t>P</t>
        </is>
      </c>
      <c r="AE64" s="89" t="inlineStr">
        <is>
          <t>P</t>
        </is>
      </c>
      <c r="AF64" s="89" t="inlineStr">
        <is>
          <t>P</t>
        </is>
      </c>
      <c r="AG64" s="89" t="inlineStr">
        <is>
          <t>P</t>
        </is>
      </c>
      <c r="AH64" s="89" t="inlineStr">
        <is>
          <t>P</t>
        </is>
      </c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121" t="inlineStr">
        <is>
          <t>UA</t>
        </is>
      </c>
      <c r="E65" s="121" t="inlineStr">
        <is>
          <t>UA</t>
        </is>
      </c>
      <c r="F65" s="89" t="inlineStr">
        <is>
          <t>P</t>
        </is>
      </c>
      <c r="G65" s="89" t="inlineStr">
        <is>
          <t>P</t>
        </is>
      </c>
      <c r="H65" s="89" t="inlineStr">
        <is>
          <t>P</t>
        </is>
      </c>
      <c r="I65" s="89" t="inlineStr">
        <is>
          <t>P</t>
        </is>
      </c>
      <c r="J65" s="89" t="inlineStr">
        <is>
          <t>P</t>
        </is>
      </c>
      <c r="K65" s="89" t="inlineStr">
        <is>
          <t>P</t>
        </is>
      </c>
      <c r="L65" s="89" t="inlineStr">
        <is>
          <t>P</t>
        </is>
      </c>
      <c r="M65" s="89" t="inlineStr">
        <is>
          <t>P</t>
        </is>
      </c>
      <c r="N65" s="89" t="inlineStr">
        <is>
          <t>P</t>
        </is>
      </c>
      <c r="O65" s="89" t="inlineStr">
        <is>
          <t>P</t>
        </is>
      </c>
      <c r="P65" s="89" t="inlineStr">
        <is>
          <t>P</t>
        </is>
      </c>
      <c r="Q65" s="89" t="inlineStr">
        <is>
          <t>P</t>
        </is>
      </c>
      <c r="R65" s="89" t="inlineStr">
        <is>
          <t>P</t>
        </is>
      </c>
      <c r="S65" s="89" t="inlineStr">
        <is>
          <t>P</t>
        </is>
      </c>
      <c r="T65" s="89" t="inlineStr">
        <is>
          <t>P</t>
        </is>
      </c>
      <c r="U65" s="89" t="inlineStr">
        <is>
          <t>P</t>
        </is>
      </c>
      <c r="V65" s="121" t="inlineStr">
        <is>
          <t>UA</t>
        </is>
      </c>
      <c r="W65" s="89" t="inlineStr">
        <is>
          <t>P</t>
        </is>
      </c>
      <c r="X65" s="89" t="inlineStr">
        <is>
          <t>P</t>
        </is>
      </c>
      <c r="Y65" s="89" t="inlineStr">
        <is>
          <t>P</t>
        </is>
      </c>
      <c r="Z65" s="89" t="inlineStr">
        <is>
          <t>P</t>
        </is>
      </c>
      <c r="AA65" s="89" t="inlineStr">
        <is>
          <t>P</t>
        </is>
      </c>
      <c r="AB65" s="89" t="inlineStr">
        <is>
          <t>P</t>
        </is>
      </c>
      <c r="AC65" s="121" t="inlineStr">
        <is>
          <t>UA</t>
        </is>
      </c>
      <c r="AD65" s="89" t="inlineStr">
        <is>
          <t>P</t>
        </is>
      </c>
      <c r="AE65" s="89" t="inlineStr">
        <is>
          <t>P</t>
        </is>
      </c>
      <c r="AF65" s="89" t="inlineStr">
        <is>
          <t>P</t>
        </is>
      </c>
      <c r="AG65" s="121" t="inlineStr">
        <is>
          <t>UA</t>
        </is>
      </c>
      <c r="AH65" s="121" t="inlineStr">
        <is>
          <t>UA</t>
        </is>
      </c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inlineStr">
        <is>
          <t>P</t>
        </is>
      </c>
      <c r="E66" s="89" t="inlineStr">
        <is>
          <t>P</t>
        </is>
      </c>
      <c r="F66" s="89" t="inlineStr">
        <is>
          <t>P</t>
        </is>
      </c>
      <c r="G66" s="89" t="inlineStr">
        <is>
          <t>P</t>
        </is>
      </c>
      <c r="H66" s="89" t="inlineStr">
        <is>
          <t>P</t>
        </is>
      </c>
      <c r="I66" s="89" t="inlineStr">
        <is>
          <t>P</t>
        </is>
      </c>
      <c r="J66" s="89" t="inlineStr">
        <is>
          <t>P</t>
        </is>
      </c>
      <c r="K66" s="89" t="inlineStr">
        <is>
          <t>P</t>
        </is>
      </c>
      <c r="L66" s="89" t="inlineStr">
        <is>
          <t>P</t>
        </is>
      </c>
      <c r="M66" s="89" t="inlineStr">
        <is>
          <t>P</t>
        </is>
      </c>
      <c r="N66" s="89" t="inlineStr">
        <is>
          <t>P</t>
        </is>
      </c>
      <c r="O66" s="89" t="inlineStr">
        <is>
          <t>P</t>
        </is>
      </c>
      <c r="P66" s="89" t="inlineStr">
        <is>
          <t>P</t>
        </is>
      </c>
      <c r="Q66" s="89" t="inlineStr">
        <is>
          <t>P</t>
        </is>
      </c>
      <c r="R66" s="89" t="inlineStr">
        <is>
          <t>P</t>
        </is>
      </c>
      <c r="S66" s="89" t="inlineStr">
        <is>
          <t>P</t>
        </is>
      </c>
      <c r="T66" s="89" t="inlineStr">
        <is>
          <t>P</t>
        </is>
      </c>
      <c r="U66" s="89" t="inlineStr">
        <is>
          <t>P</t>
        </is>
      </c>
      <c r="V66" s="89" t="inlineStr">
        <is>
          <t>P</t>
        </is>
      </c>
      <c r="W66" s="89" t="inlineStr">
        <is>
          <t>P</t>
        </is>
      </c>
      <c r="X66" s="89" t="inlineStr">
        <is>
          <t>P</t>
        </is>
      </c>
      <c r="Y66" s="89" t="inlineStr">
        <is>
          <t>P</t>
        </is>
      </c>
      <c r="Z66" s="89" t="inlineStr">
        <is>
          <t>P</t>
        </is>
      </c>
      <c r="AA66" s="89" t="inlineStr">
        <is>
          <t>P</t>
        </is>
      </c>
      <c r="AB66" s="89" t="inlineStr">
        <is>
          <t>P</t>
        </is>
      </c>
      <c r="AC66" s="89" t="inlineStr">
        <is>
          <t>P</t>
        </is>
      </c>
      <c r="AD66" s="89" t="inlineStr">
        <is>
          <t>P</t>
        </is>
      </c>
      <c r="AE66" s="89" t="inlineStr">
        <is>
          <t>P</t>
        </is>
      </c>
      <c r="AF66" s="89" t="inlineStr">
        <is>
          <t>P</t>
        </is>
      </c>
      <c r="AG66" s="89" t="inlineStr">
        <is>
          <t>P</t>
        </is>
      </c>
      <c r="AH66" s="89" t="inlineStr">
        <is>
          <t>P</t>
        </is>
      </c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inlineStr">
        <is>
          <t>P</t>
        </is>
      </c>
      <c r="E67" s="89" t="inlineStr">
        <is>
          <t>P</t>
        </is>
      </c>
      <c r="F67" s="89" t="inlineStr">
        <is>
          <t>P</t>
        </is>
      </c>
      <c r="G67" s="89" t="inlineStr">
        <is>
          <t>P</t>
        </is>
      </c>
      <c r="H67" s="89" t="inlineStr">
        <is>
          <t>P</t>
        </is>
      </c>
      <c r="I67" s="89" t="inlineStr">
        <is>
          <t>P</t>
        </is>
      </c>
      <c r="J67" s="89" t="inlineStr">
        <is>
          <t>P</t>
        </is>
      </c>
      <c r="K67" s="89" t="inlineStr">
        <is>
          <t>P</t>
        </is>
      </c>
      <c r="L67" s="89" t="inlineStr">
        <is>
          <t>P</t>
        </is>
      </c>
      <c r="M67" s="89" t="inlineStr">
        <is>
          <t>P</t>
        </is>
      </c>
      <c r="N67" s="89" t="inlineStr">
        <is>
          <t>P</t>
        </is>
      </c>
      <c r="O67" s="89" t="inlineStr">
        <is>
          <t>P</t>
        </is>
      </c>
      <c r="P67" s="89" t="inlineStr">
        <is>
          <t>P</t>
        </is>
      </c>
      <c r="Q67" s="89" t="inlineStr">
        <is>
          <t>P</t>
        </is>
      </c>
      <c r="R67" s="89" t="inlineStr">
        <is>
          <t>P</t>
        </is>
      </c>
      <c r="S67" s="89" t="inlineStr">
        <is>
          <t>P</t>
        </is>
      </c>
      <c r="T67" s="89" t="inlineStr">
        <is>
          <t>P</t>
        </is>
      </c>
      <c r="U67" s="89" t="inlineStr">
        <is>
          <t>P</t>
        </is>
      </c>
      <c r="V67" s="89" t="inlineStr">
        <is>
          <t>P</t>
        </is>
      </c>
      <c r="W67" s="89" t="inlineStr">
        <is>
          <t>P</t>
        </is>
      </c>
      <c r="X67" s="89" t="inlineStr">
        <is>
          <t>P</t>
        </is>
      </c>
      <c r="Y67" s="89" t="inlineStr">
        <is>
          <t>P</t>
        </is>
      </c>
      <c r="Z67" s="89" t="inlineStr">
        <is>
          <t>P</t>
        </is>
      </c>
      <c r="AA67" s="89" t="inlineStr">
        <is>
          <t>P</t>
        </is>
      </c>
      <c r="AB67" s="89" t="inlineStr">
        <is>
          <t>P</t>
        </is>
      </c>
      <c r="AC67" s="89" t="inlineStr">
        <is>
          <t>P</t>
        </is>
      </c>
      <c r="AD67" s="89" t="inlineStr">
        <is>
          <t>P</t>
        </is>
      </c>
      <c r="AE67" s="89" t="inlineStr">
        <is>
          <t>P</t>
        </is>
      </c>
      <c r="AF67" s="89" t="inlineStr">
        <is>
          <t>P</t>
        </is>
      </c>
      <c r="AG67" s="89" t="inlineStr">
        <is>
          <t>P</t>
        </is>
      </c>
      <c r="AH67" s="89" t="inlineStr">
        <is>
          <t>P</t>
        </is>
      </c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121" t="inlineStr">
        <is>
          <t>UA</t>
        </is>
      </c>
      <c r="E68" s="121" t="inlineStr">
        <is>
          <t>UA</t>
        </is>
      </c>
      <c r="F68" s="121" t="inlineStr">
        <is>
          <t>UA</t>
        </is>
      </c>
      <c r="G68" s="121" t="inlineStr">
        <is>
          <t>UA</t>
        </is>
      </c>
      <c r="H68" s="121" t="inlineStr">
        <is>
          <t>UA</t>
        </is>
      </c>
      <c r="I68" s="121" t="inlineStr">
        <is>
          <t>UA</t>
        </is>
      </c>
      <c r="J68" s="121" t="inlineStr">
        <is>
          <t>UA</t>
        </is>
      </c>
      <c r="K68" s="121" t="inlineStr">
        <is>
          <t>UA</t>
        </is>
      </c>
      <c r="L68" s="121" t="inlineStr">
        <is>
          <t>UA</t>
        </is>
      </c>
      <c r="M68" s="121" t="inlineStr">
        <is>
          <t>UA</t>
        </is>
      </c>
      <c r="N68" s="121" t="inlineStr">
        <is>
          <t>UA</t>
        </is>
      </c>
      <c r="O68" s="121" t="inlineStr">
        <is>
          <t>UA</t>
        </is>
      </c>
      <c r="P68" s="121" t="inlineStr">
        <is>
          <t>UA</t>
        </is>
      </c>
      <c r="Q68" s="121" t="inlineStr">
        <is>
          <t>UA</t>
        </is>
      </c>
      <c r="R68" s="121" t="inlineStr">
        <is>
          <t>UA</t>
        </is>
      </c>
      <c r="S68" s="121" t="inlineStr">
        <is>
          <t>UA</t>
        </is>
      </c>
      <c r="T68" s="121" t="inlineStr">
        <is>
          <t>UA</t>
        </is>
      </c>
      <c r="U68" s="121" t="inlineStr">
        <is>
          <t>UA</t>
        </is>
      </c>
      <c r="V68" s="121" t="inlineStr">
        <is>
          <t>UA</t>
        </is>
      </c>
      <c r="W68" s="121" t="inlineStr">
        <is>
          <t>UA</t>
        </is>
      </c>
      <c r="X68" s="121" t="inlineStr">
        <is>
          <t>UA</t>
        </is>
      </c>
      <c r="Y68" s="121" t="inlineStr">
        <is>
          <t>UA</t>
        </is>
      </c>
      <c r="Z68" s="121" t="inlineStr">
        <is>
          <t>UA</t>
        </is>
      </c>
      <c r="AA68" s="121" t="inlineStr">
        <is>
          <t>UA</t>
        </is>
      </c>
      <c r="AB68" s="121" t="inlineStr">
        <is>
          <t>UA</t>
        </is>
      </c>
      <c r="AC68" s="121" t="inlineStr">
        <is>
          <t>UA</t>
        </is>
      </c>
      <c r="AD68" s="121" t="inlineStr">
        <is>
          <t>UA</t>
        </is>
      </c>
      <c r="AE68" s="121" t="inlineStr">
        <is>
          <t>UA</t>
        </is>
      </c>
      <c r="AF68" s="121" t="inlineStr">
        <is>
          <t>UA</t>
        </is>
      </c>
      <c r="AG68" s="121" t="inlineStr">
        <is>
          <t>UA</t>
        </is>
      </c>
      <c r="AH68" s="121" t="inlineStr">
        <is>
          <t>UA</t>
        </is>
      </c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inlineStr">
        <is>
          <t>P</t>
        </is>
      </c>
      <c r="E69" s="89" t="inlineStr">
        <is>
          <t>P</t>
        </is>
      </c>
      <c r="F69" s="89" t="inlineStr">
        <is>
          <t>P</t>
        </is>
      </c>
      <c r="G69" s="89" t="inlineStr">
        <is>
          <t>P</t>
        </is>
      </c>
      <c r="H69" s="89" t="inlineStr">
        <is>
          <t>P</t>
        </is>
      </c>
      <c r="I69" s="89" t="inlineStr">
        <is>
          <t>P</t>
        </is>
      </c>
      <c r="J69" s="89" t="inlineStr">
        <is>
          <t>P</t>
        </is>
      </c>
      <c r="K69" s="89" t="inlineStr">
        <is>
          <t>P</t>
        </is>
      </c>
      <c r="L69" s="89" t="inlineStr">
        <is>
          <t>P</t>
        </is>
      </c>
      <c r="M69" s="89" t="inlineStr">
        <is>
          <t>P</t>
        </is>
      </c>
      <c r="N69" s="89" t="inlineStr">
        <is>
          <t>P</t>
        </is>
      </c>
      <c r="O69" s="89" t="inlineStr">
        <is>
          <t>P</t>
        </is>
      </c>
      <c r="P69" s="89" t="inlineStr">
        <is>
          <t>P</t>
        </is>
      </c>
      <c r="Q69" s="89" t="inlineStr">
        <is>
          <t>P</t>
        </is>
      </c>
      <c r="R69" s="89" t="inlineStr">
        <is>
          <t>P</t>
        </is>
      </c>
      <c r="S69" s="89" t="inlineStr">
        <is>
          <t>P</t>
        </is>
      </c>
      <c r="T69" s="89" t="inlineStr">
        <is>
          <t>P</t>
        </is>
      </c>
      <c r="U69" s="89" t="inlineStr">
        <is>
          <t>P</t>
        </is>
      </c>
      <c r="V69" s="89" t="inlineStr">
        <is>
          <t>P</t>
        </is>
      </c>
      <c r="W69" s="89" t="inlineStr">
        <is>
          <t>P</t>
        </is>
      </c>
      <c r="X69" s="89" t="inlineStr">
        <is>
          <t>P</t>
        </is>
      </c>
      <c r="Y69" s="89" t="inlineStr">
        <is>
          <t>P</t>
        </is>
      </c>
      <c r="Z69" s="89" t="inlineStr">
        <is>
          <t>P</t>
        </is>
      </c>
      <c r="AA69" s="89" t="inlineStr">
        <is>
          <t>P</t>
        </is>
      </c>
      <c r="AB69" s="89" t="inlineStr">
        <is>
          <t>P</t>
        </is>
      </c>
      <c r="AC69" s="89" t="inlineStr">
        <is>
          <t>P</t>
        </is>
      </c>
      <c r="AD69" s="89" t="inlineStr">
        <is>
          <t>P</t>
        </is>
      </c>
      <c r="AE69" s="89" t="inlineStr">
        <is>
          <t>P</t>
        </is>
      </c>
      <c r="AF69" s="89" t="inlineStr">
        <is>
          <t>P</t>
        </is>
      </c>
      <c r="AG69" s="89" t="inlineStr">
        <is>
          <t>P</t>
        </is>
      </c>
      <c r="AH69" s="89" t="inlineStr">
        <is>
          <t>P</t>
        </is>
      </c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inlineStr">
        <is>
          <t>P</t>
        </is>
      </c>
      <c r="E70" s="89" t="inlineStr">
        <is>
          <t>P</t>
        </is>
      </c>
      <c r="F70" s="89" t="inlineStr">
        <is>
          <t>P</t>
        </is>
      </c>
      <c r="G70" s="89" t="inlineStr">
        <is>
          <t>P</t>
        </is>
      </c>
      <c r="H70" s="89" t="inlineStr">
        <is>
          <t>P</t>
        </is>
      </c>
      <c r="I70" s="89" t="inlineStr">
        <is>
          <t>P</t>
        </is>
      </c>
      <c r="J70" s="89" t="inlineStr">
        <is>
          <t>P</t>
        </is>
      </c>
      <c r="K70" s="89" t="inlineStr">
        <is>
          <t>P</t>
        </is>
      </c>
      <c r="L70" s="89" t="inlineStr">
        <is>
          <t>P</t>
        </is>
      </c>
      <c r="M70" s="89" t="inlineStr">
        <is>
          <t>P</t>
        </is>
      </c>
      <c r="N70" s="89" t="inlineStr">
        <is>
          <t>P</t>
        </is>
      </c>
      <c r="O70" s="89" t="inlineStr">
        <is>
          <t>P</t>
        </is>
      </c>
      <c r="P70" s="89" t="inlineStr">
        <is>
          <t>P</t>
        </is>
      </c>
      <c r="Q70" s="89" t="inlineStr">
        <is>
          <t>P</t>
        </is>
      </c>
      <c r="R70" s="89" t="inlineStr">
        <is>
          <t>P</t>
        </is>
      </c>
      <c r="S70" s="89" t="inlineStr">
        <is>
          <t>P</t>
        </is>
      </c>
      <c r="T70" s="89" t="inlineStr">
        <is>
          <t>P</t>
        </is>
      </c>
      <c r="U70" s="89" t="inlineStr">
        <is>
          <t>P</t>
        </is>
      </c>
      <c r="V70" s="121" t="inlineStr">
        <is>
          <t>UA</t>
        </is>
      </c>
      <c r="W70" s="89" t="inlineStr">
        <is>
          <t>P</t>
        </is>
      </c>
      <c r="X70" s="89" t="inlineStr">
        <is>
          <t>P</t>
        </is>
      </c>
      <c r="Y70" s="89" t="inlineStr">
        <is>
          <t>P</t>
        </is>
      </c>
      <c r="Z70" s="89" t="inlineStr">
        <is>
          <t>P</t>
        </is>
      </c>
      <c r="AA70" s="89" t="inlineStr">
        <is>
          <t>P</t>
        </is>
      </c>
      <c r="AB70" s="89" t="inlineStr">
        <is>
          <t>P</t>
        </is>
      </c>
      <c r="AC70" s="89" t="inlineStr">
        <is>
          <t>P</t>
        </is>
      </c>
      <c r="AD70" s="121" t="inlineStr">
        <is>
          <t>UA</t>
        </is>
      </c>
      <c r="AE70" s="121" t="inlineStr">
        <is>
          <t>UA</t>
        </is>
      </c>
      <c r="AF70" s="121" t="inlineStr">
        <is>
          <t>UA</t>
        </is>
      </c>
      <c r="AG70" s="121" t="inlineStr">
        <is>
          <t>UA</t>
        </is>
      </c>
      <c r="AH70" s="121" t="inlineStr">
        <is>
          <t>UA</t>
        </is>
      </c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inlineStr">
        <is>
          <t>P</t>
        </is>
      </c>
      <c r="E71" s="89" t="inlineStr">
        <is>
          <t>P</t>
        </is>
      </c>
      <c r="F71" s="89" t="inlineStr">
        <is>
          <t>P</t>
        </is>
      </c>
      <c r="G71" s="89" t="inlineStr">
        <is>
          <t>P</t>
        </is>
      </c>
      <c r="H71" s="89" t="inlineStr">
        <is>
          <t>P</t>
        </is>
      </c>
      <c r="I71" s="89" t="inlineStr">
        <is>
          <t>P</t>
        </is>
      </c>
      <c r="J71" s="89" t="inlineStr">
        <is>
          <t>P</t>
        </is>
      </c>
      <c r="K71" s="89" t="inlineStr">
        <is>
          <t>P</t>
        </is>
      </c>
      <c r="L71" s="89" t="inlineStr">
        <is>
          <t>P</t>
        </is>
      </c>
      <c r="M71" s="89" t="inlineStr">
        <is>
          <t>P</t>
        </is>
      </c>
      <c r="N71" s="89" t="inlineStr">
        <is>
          <t>P</t>
        </is>
      </c>
      <c r="O71" s="89" t="inlineStr">
        <is>
          <t>P</t>
        </is>
      </c>
      <c r="P71" s="89" t="inlineStr">
        <is>
          <t>P</t>
        </is>
      </c>
      <c r="Q71" s="89" t="inlineStr">
        <is>
          <t>P</t>
        </is>
      </c>
      <c r="R71" s="89" t="inlineStr">
        <is>
          <t>P</t>
        </is>
      </c>
      <c r="S71" s="89" t="inlineStr">
        <is>
          <t>P</t>
        </is>
      </c>
      <c r="T71" s="89" t="inlineStr">
        <is>
          <t>P</t>
        </is>
      </c>
      <c r="U71" s="89" t="inlineStr">
        <is>
          <t>P</t>
        </is>
      </c>
      <c r="V71" s="89" t="inlineStr">
        <is>
          <t>P</t>
        </is>
      </c>
      <c r="W71" s="89" t="inlineStr">
        <is>
          <t>P</t>
        </is>
      </c>
      <c r="X71" s="89" t="inlineStr">
        <is>
          <t>P</t>
        </is>
      </c>
      <c r="Y71" s="89" t="inlineStr">
        <is>
          <t>P</t>
        </is>
      </c>
      <c r="Z71" s="89" t="inlineStr">
        <is>
          <t>P</t>
        </is>
      </c>
      <c r="AA71" s="89" t="inlineStr">
        <is>
          <t>P</t>
        </is>
      </c>
      <c r="AB71" s="89" t="inlineStr">
        <is>
          <t>P</t>
        </is>
      </c>
      <c r="AC71" s="89" t="inlineStr">
        <is>
          <t>P</t>
        </is>
      </c>
      <c r="AD71" s="89" t="inlineStr">
        <is>
          <t>P</t>
        </is>
      </c>
      <c r="AE71" s="89" t="inlineStr">
        <is>
          <t>P</t>
        </is>
      </c>
      <c r="AF71" s="89" t="inlineStr">
        <is>
          <t>P</t>
        </is>
      </c>
      <c r="AG71" s="89" t="inlineStr">
        <is>
          <t>P</t>
        </is>
      </c>
      <c r="AH71" s="89" t="inlineStr">
        <is>
          <t>P</t>
        </is>
      </c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52" activePane="bottomRight" state="frozen"/>
      <selection pane="topLeft" activeCell="A1" activeCellId="0" sqref="A1"/>
      <selection pane="topRight" activeCell="D1" activeCellId="0" sqref="D1"/>
      <selection pane="bottomLeft" activeCell="A52" activeCellId="0" sqref="A52"/>
      <selection pane="bottomRight" activeCell="E52" activeCellId="0" sqref="E52"/>
    </sheetView>
  </sheetViews>
  <sheetFormatPr baseColWidth="8" defaultRowHeight="14.45" zeroHeight="0" outlineLevelRow="0"/>
  <cols>
    <col width="26.71" customWidth="1" style="56" min="1" max="1"/>
    <col width="24.71" customWidth="1" style="56" min="2" max="2"/>
    <col width="19.99" customWidth="1" style="56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5.43" customWidth="1" style="78" min="48" max="48"/>
    <col width="27.3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February Monthly Staff Attendance Master Register</t>
        </is>
      </c>
    </row>
    <row r="2" ht="24" customHeight="1" s="57">
      <c r="A2" s="69" t="inlineStr">
        <is>
          <t>Month Start</t>
        </is>
      </c>
      <c r="B2" s="83">
        <f>DATE('Control Panel'!$B$3,2,1)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28.9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5.6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8">
        <f>IF($A8="","",'Employee Master'!C8)</f>
        <v/>
      </c>
      <c r="D8" s="89" t="inlineStr">
        <is>
          <t>P</t>
        </is>
      </c>
      <c r="E8" s="121" t="inlineStr">
        <is>
          <t>UA</t>
        </is>
      </c>
      <c r="F8" s="121" t="inlineStr">
        <is>
          <t>UA</t>
        </is>
      </c>
      <c r="G8" s="121" t="inlineStr">
        <is>
          <t>UA</t>
        </is>
      </c>
      <c r="H8" s="121" t="inlineStr">
        <is>
          <t>UA</t>
        </is>
      </c>
      <c r="I8" s="121" t="inlineStr">
        <is>
          <t>UA</t>
        </is>
      </c>
      <c r="J8" s="121" t="inlineStr">
        <is>
          <t>UA</t>
        </is>
      </c>
      <c r="K8" s="121" t="inlineStr">
        <is>
          <t>UA</t>
        </is>
      </c>
      <c r="L8" s="121" t="inlineStr">
        <is>
          <t>UA</t>
        </is>
      </c>
      <c r="M8" s="121" t="inlineStr">
        <is>
          <t>UA</t>
        </is>
      </c>
      <c r="N8" s="121" t="inlineStr">
        <is>
          <t>UA</t>
        </is>
      </c>
      <c r="O8" s="121" t="inlineStr">
        <is>
          <t>UA</t>
        </is>
      </c>
      <c r="P8" s="121" t="inlineStr">
        <is>
          <t>UA</t>
        </is>
      </c>
      <c r="Q8" s="121" t="inlineStr">
        <is>
          <t>UA</t>
        </is>
      </c>
      <c r="R8" s="121" t="inlineStr">
        <is>
          <t>UA</t>
        </is>
      </c>
      <c r="S8" s="121" t="inlineStr">
        <is>
          <t>UA</t>
        </is>
      </c>
      <c r="T8" s="121" t="inlineStr">
        <is>
          <t>UA</t>
        </is>
      </c>
      <c r="U8" s="121" t="inlineStr">
        <is>
          <t>UA</t>
        </is>
      </c>
      <c r="V8" s="121" t="inlineStr">
        <is>
          <t>UA</t>
        </is>
      </c>
      <c r="W8" s="121" t="inlineStr">
        <is>
          <t>UA</t>
        </is>
      </c>
      <c r="X8" s="121" t="inlineStr">
        <is>
          <t>UA</t>
        </is>
      </c>
      <c r="Y8" s="121" t="inlineStr">
        <is>
          <t>UA</t>
        </is>
      </c>
      <c r="Z8" s="121" t="inlineStr">
        <is>
          <t>UA</t>
        </is>
      </c>
      <c r="AA8" s="121" t="inlineStr">
        <is>
          <t>UA</t>
        </is>
      </c>
      <c r="AB8" s="121" t="inlineStr">
        <is>
          <t>UA</t>
        </is>
      </c>
      <c r="AC8" s="121" t="inlineStr">
        <is>
          <t>UA</t>
        </is>
      </c>
      <c r="AD8" s="121" t="inlineStr">
        <is>
          <t>UA</t>
        </is>
      </c>
      <c r="AE8" s="121" t="inlineStr">
        <is>
          <t>UA</t>
        </is>
      </c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8">
        <f>IF($A9="","",'Employee Master'!C9)</f>
        <v/>
      </c>
      <c r="D9" s="121" t="inlineStr">
        <is>
          <t>UA</t>
        </is>
      </c>
      <c r="E9" s="121" t="inlineStr">
        <is>
          <t>UA</t>
        </is>
      </c>
      <c r="F9" s="89" t="inlineStr">
        <is>
          <t>P</t>
        </is>
      </c>
      <c r="G9" s="89" t="inlineStr">
        <is>
          <t>P</t>
        </is>
      </c>
      <c r="H9" s="89" t="inlineStr">
        <is>
          <t>P</t>
        </is>
      </c>
      <c r="I9" s="89" t="inlineStr">
        <is>
          <t>P</t>
        </is>
      </c>
      <c r="J9" s="89" t="inlineStr">
        <is>
          <t>P</t>
        </is>
      </c>
      <c r="K9" s="89" t="inlineStr">
        <is>
          <t>P</t>
        </is>
      </c>
      <c r="L9" s="89" t="inlineStr">
        <is>
          <t>P</t>
        </is>
      </c>
      <c r="M9" s="89" t="inlineStr">
        <is>
          <t>P</t>
        </is>
      </c>
      <c r="N9" s="89" t="inlineStr">
        <is>
          <t>P</t>
        </is>
      </c>
      <c r="O9" s="89" t="inlineStr">
        <is>
          <t>P</t>
        </is>
      </c>
      <c r="P9" s="89" t="inlineStr">
        <is>
          <t>P</t>
        </is>
      </c>
      <c r="Q9" s="89" t="inlineStr">
        <is>
          <t>P</t>
        </is>
      </c>
      <c r="R9" s="89" t="inlineStr">
        <is>
          <t>P</t>
        </is>
      </c>
      <c r="S9" s="89" t="inlineStr">
        <is>
          <t>P</t>
        </is>
      </c>
      <c r="T9" s="89" t="inlineStr">
        <is>
          <t>P</t>
        </is>
      </c>
      <c r="U9" s="89" t="inlineStr">
        <is>
          <t>P</t>
        </is>
      </c>
      <c r="V9" s="89" t="inlineStr">
        <is>
          <t>P</t>
        </is>
      </c>
      <c r="W9" s="89" t="inlineStr">
        <is>
          <t>P</t>
        </is>
      </c>
      <c r="X9" s="89" t="inlineStr">
        <is>
          <t>P</t>
        </is>
      </c>
      <c r="Y9" s="89" t="inlineStr">
        <is>
          <t>P</t>
        </is>
      </c>
      <c r="Z9" s="89" t="inlineStr">
        <is>
          <t>P</t>
        </is>
      </c>
      <c r="AA9" s="89" t="inlineStr">
        <is>
          <t>P</t>
        </is>
      </c>
      <c r="AB9" s="89" t="inlineStr">
        <is>
          <t>P</t>
        </is>
      </c>
      <c r="AC9" s="89" t="inlineStr">
        <is>
          <t>P</t>
        </is>
      </c>
      <c r="AD9" s="89" t="inlineStr">
        <is>
          <t>P</t>
        </is>
      </c>
      <c r="AE9" s="89" t="inlineStr">
        <is>
          <t>P</t>
        </is>
      </c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8">
        <f>IF($A10="","",'Employee Master'!C10)</f>
        <v/>
      </c>
      <c r="D10" s="89" t="inlineStr">
        <is>
          <t>P</t>
        </is>
      </c>
      <c r="E10" s="89" t="inlineStr">
        <is>
          <t>P</t>
        </is>
      </c>
      <c r="F10" s="89" t="inlineStr">
        <is>
          <t>P</t>
        </is>
      </c>
      <c r="G10" s="89" t="inlineStr">
        <is>
          <t>P</t>
        </is>
      </c>
      <c r="H10" s="89" t="inlineStr">
        <is>
          <t>P</t>
        </is>
      </c>
      <c r="I10" s="89" t="inlineStr">
        <is>
          <t>P</t>
        </is>
      </c>
      <c r="J10" s="89" t="inlineStr">
        <is>
          <t>P</t>
        </is>
      </c>
      <c r="K10" s="89" t="inlineStr">
        <is>
          <t>P</t>
        </is>
      </c>
      <c r="L10" s="89" t="inlineStr">
        <is>
          <t>P</t>
        </is>
      </c>
      <c r="M10" s="89" t="inlineStr">
        <is>
          <t>P</t>
        </is>
      </c>
      <c r="N10" s="89" t="inlineStr">
        <is>
          <t>P</t>
        </is>
      </c>
      <c r="O10" s="89" t="inlineStr">
        <is>
          <t>P</t>
        </is>
      </c>
      <c r="P10" s="89" t="inlineStr">
        <is>
          <t>P</t>
        </is>
      </c>
      <c r="Q10" s="121" t="inlineStr">
        <is>
          <t>UA</t>
        </is>
      </c>
      <c r="R10" s="121" t="inlineStr">
        <is>
          <t>UA</t>
        </is>
      </c>
      <c r="S10" s="121" t="inlineStr">
        <is>
          <t>UA</t>
        </is>
      </c>
      <c r="T10" s="121" t="inlineStr">
        <is>
          <t>UA</t>
        </is>
      </c>
      <c r="U10" s="121" t="inlineStr">
        <is>
          <t>UA</t>
        </is>
      </c>
      <c r="V10" s="121" t="inlineStr">
        <is>
          <t>UA</t>
        </is>
      </c>
      <c r="W10" s="121" t="inlineStr">
        <is>
          <t>UA</t>
        </is>
      </c>
      <c r="X10" s="121" t="inlineStr">
        <is>
          <t>UA</t>
        </is>
      </c>
      <c r="Y10" s="121" t="inlineStr">
        <is>
          <t>UA</t>
        </is>
      </c>
      <c r="Z10" s="89" t="inlineStr">
        <is>
          <t>P</t>
        </is>
      </c>
      <c r="AA10" s="89" t="inlineStr">
        <is>
          <t>P</t>
        </is>
      </c>
      <c r="AB10" s="89" t="inlineStr">
        <is>
          <t>P</t>
        </is>
      </c>
      <c r="AC10" s="89" t="inlineStr">
        <is>
          <t>P</t>
        </is>
      </c>
      <c r="AD10" s="89" t="inlineStr">
        <is>
          <t>P</t>
        </is>
      </c>
      <c r="AE10" s="89" t="inlineStr">
        <is>
          <t>P</t>
        </is>
      </c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8">
        <f>IF($A11="","",'Employee Master'!C11)</f>
        <v/>
      </c>
      <c r="D11" s="121" t="inlineStr">
        <is>
          <t>UA</t>
        </is>
      </c>
      <c r="E11" s="121" t="inlineStr">
        <is>
          <t>UA</t>
        </is>
      </c>
      <c r="F11" s="121" t="inlineStr">
        <is>
          <t>UA</t>
        </is>
      </c>
      <c r="G11" s="121" t="inlineStr">
        <is>
          <t>UA</t>
        </is>
      </c>
      <c r="H11" s="121" t="inlineStr">
        <is>
          <t>UA</t>
        </is>
      </c>
      <c r="I11" s="121" t="inlineStr">
        <is>
          <t>UA</t>
        </is>
      </c>
      <c r="J11" s="121" t="inlineStr">
        <is>
          <t>UA</t>
        </is>
      </c>
      <c r="K11" s="121" t="inlineStr">
        <is>
          <t>UA</t>
        </is>
      </c>
      <c r="L11" s="121" t="inlineStr">
        <is>
          <t>UA</t>
        </is>
      </c>
      <c r="M11" s="121" t="inlineStr">
        <is>
          <t>UA</t>
        </is>
      </c>
      <c r="N11" s="121" t="inlineStr">
        <is>
          <t>UA</t>
        </is>
      </c>
      <c r="O11" s="121" t="inlineStr">
        <is>
          <t>UA</t>
        </is>
      </c>
      <c r="P11" s="121" t="inlineStr">
        <is>
          <t>UA</t>
        </is>
      </c>
      <c r="Q11" s="121" t="inlineStr">
        <is>
          <t>UA</t>
        </is>
      </c>
      <c r="R11" s="121" t="inlineStr">
        <is>
          <t>UA</t>
        </is>
      </c>
      <c r="S11" s="121" t="inlineStr">
        <is>
          <t>UA</t>
        </is>
      </c>
      <c r="T11" s="121" t="inlineStr">
        <is>
          <t>UA</t>
        </is>
      </c>
      <c r="U11" s="121" t="inlineStr">
        <is>
          <t>UA</t>
        </is>
      </c>
      <c r="V11" s="121" t="inlineStr">
        <is>
          <t>UA</t>
        </is>
      </c>
      <c r="W11" s="121" t="inlineStr">
        <is>
          <t>UA</t>
        </is>
      </c>
      <c r="X11" s="121" t="inlineStr">
        <is>
          <t>UA</t>
        </is>
      </c>
      <c r="Y11" s="121" t="inlineStr">
        <is>
          <t>UA</t>
        </is>
      </c>
      <c r="Z11" s="89" t="inlineStr">
        <is>
          <t>P</t>
        </is>
      </c>
      <c r="AA11" s="89" t="inlineStr">
        <is>
          <t>P</t>
        </is>
      </c>
      <c r="AB11" s="89" t="inlineStr">
        <is>
          <t>P</t>
        </is>
      </c>
      <c r="AC11" s="89" t="inlineStr">
        <is>
          <t>P</t>
        </is>
      </c>
      <c r="AD11" s="89" t="inlineStr">
        <is>
          <t>P</t>
        </is>
      </c>
      <c r="AE11" s="89" t="inlineStr">
        <is>
          <t>P</t>
        </is>
      </c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8">
        <f>IF($A12="","",'Employee Master'!C12)</f>
        <v/>
      </c>
      <c r="D12" s="89" t="inlineStr">
        <is>
          <t>P</t>
        </is>
      </c>
      <c r="E12" s="121" t="inlineStr">
        <is>
          <t>UA</t>
        </is>
      </c>
      <c r="F12" s="121" t="inlineStr">
        <is>
          <t>UA</t>
        </is>
      </c>
      <c r="G12" s="121" t="inlineStr">
        <is>
          <t>UA</t>
        </is>
      </c>
      <c r="H12" s="121" t="inlineStr">
        <is>
          <t>UA</t>
        </is>
      </c>
      <c r="I12" s="121" t="inlineStr">
        <is>
          <t>UA</t>
        </is>
      </c>
      <c r="J12" s="121" t="inlineStr">
        <is>
          <t>UA</t>
        </is>
      </c>
      <c r="K12" s="121" t="inlineStr">
        <is>
          <t>UA</t>
        </is>
      </c>
      <c r="L12" s="121" t="inlineStr">
        <is>
          <t>UA</t>
        </is>
      </c>
      <c r="M12" s="121" t="inlineStr">
        <is>
          <t>UA</t>
        </is>
      </c>
      <c r="N12" s="121" t="inlineStr">
        <is>
          <t>UA</t>
        </is>
      </c>
      <c r="O12" s="121" t="inlineStr">
        <is>
          <t>UA</t>
        </is>
      </c>
      <c r="P12" s="121" t="inlineStr">
        <is>
          <t>UA</t>
        </is>
      </c>
      <c r="Q12" s="121" t="inlineStr">
        <is>
          <t>UA</t>
        </is>
      </c>
      <c r="R12" s="121" t="inlineStr">
        <is>
          <t>UA</t>
        </is>
      </c>
      <c r="S12" s="121" t="inlineStr">
        <is>
          <t>UA</t>
        </is>
      </c>
      <c r="T12" s="121" t="inlineStr">
        <is>
          <t>UA</t>
        </is>
      </c>
      <c r="U12" s="121" t="inlineStr">
        <is>
          <t>UA</t>
        </is>
      </c>
      <c r="V12" s="121" t="inlineStr">
        <is>
          <t>UA</t>
        </is>
      </c>
      <c r="W12" s="121" t="inlineStr">
        <is>
          <t>UA</t>
        </is>
      </c>
      <c r="X12" s="121" t="inlineStr">
        <is>
          <t>UA</t>
        </is>
      </c>
      <c r="Y12" s="121" t="inlineStr">
        <is>
          <t>UA</t>
        </is>
      </c>
      <c r="Z12" s="121" t="inlineStr">
        <is>
          <t>UA</t>
        </is>
      </c>
      <c r="AA12" s="121" t="inlineStr">
        <is>
          <t>UA</t>
        </is>
      </c>
      <c r="AB12" s="121" t="inlineStr">
        <is>
          <t>UA</t>
        </is>
      </c>
      <c r="AC12" s="89" t="inlineStr">
        <is>
          <t>P</t>
        </is>
      </c>
      <c r="AD12" s="89" t="inlineStr">
        <is>
          <t>P</t>
        </is>
      </c>
      <c r="AE12" s="89" t="inlineStr">
        <is>
          <t>P</t>
        </is>
      </c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8">
        <f>IF($A13="","",'Employee Master'!C13)</f>
        <v/>
      </c>
      <c r="D13" s="89" t="inlineStr">
        <is>
          <t>P</t>
        </is>
      </c>
      <c r="E13" s="89" t="inlineStr">
        <is>
          <t>P</t>
        </is>
      </c>
      <c r="F13" s="89" t="inlineStr">
        <is>
          <t>P</t>
        </is>
      </c>
      <c r="G13" s="89" t="inlineStr">
        <is>
          <t>P</t>
        </is>
      </c>
      <c r="H13" s="89" t="inlineStr">
        <is>
          <t>P</t>
        </is>
      </c>
      <c r="I13" s="89" t="inlineStr">
        <is>
          <t>P</t>
        </is>
      </c>
      <c r="J13" s="89" t="inlineStr">
        <is>
          <t>P</t>
        </is>
      </c>
      <c r="K13" s="89" t="inlineStr">
        <is>
          <t>P</t>
        </is>
      </c>
      <c r="L13" s="89" t="inlineStr">
        <is>
          <t>P</t>
        </is>
      </c>
      <c r="M13" s="89" t="inlineStr">
        <is>
          <t>P</t>
        </is>
      </c>
      <c r="N13" s="89" t="inlineStr">
        <is>
          <t>P</t>
        </is>
      </c>
      <c r="O13" s="89" t="inlineStr">
        <is>
          <t>P</t>
        </is>
      </c>
      <c r="P13" s="89" t="inlineStr">
        <is>
          <t>P</t>
        </is>
      </c>
      <c r="Q13" s="89" t="inlineStr">
        <is>
          <t>P</t>
        </is>
      </c>
      <c r="R13" s="89" t="inlineStr">
        <is>
          <t>P</t>
        </is>
      </c>
      <c r="S13" s="89" t="inlineStr">
        <is>
          <t>P</t>
        </is>
      </c>
      <c r="T13" s="89" t="inlineStr">
        <is>
          <t>P</t>
        </is>
      </c>
      <c r="U13" s="89" t="inlineStr">
        <is>
          <t>P</t>
        </is>
      </c>
      <c r="V13" s="89" t="inlineStr">
        <is>
          <t>P</t>
        </is>
      </c>
      <c r="W13" s="89" t="inlineStr">
        <is>
          <t>P</t>
        </is>
      </c>
      <c r="X13" s="89" t="inlineStr">
        <is>
          <t>P</t>
        </is>
      </c>
      <c r="Y13" s="89" t="inlineStr">
        <is>
          <t>P</t>
        </is>
      </c>
      <c r="Z13" s="89" t="inlineStr">
        <is>
          <t>P</t>
        </is>
      </c>
      <c r="AA13" s="89" t="inlineStr">
        <is>
          <t>P</t>
        </is>
      </c>
      <c r="AB13" s="89" t="inlineStr">
        <is>
          <t>P</t>
        </is>
      </c>
      <c r="AC13" s="89" t="inlineStr">
        <is>
          <t>P</t>
        </is>
      </c>
      <c r="AD13" s="89" t="inlineStr">
        <is>
          <t>P</t>
        </is>
      </c>
      <c r="AE13" s="89" t="inlineStr">
        <is>
          <t>P</t>
        </is>
      </c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8">
        <f>IF($A14="","",'Employee Master'!C14)</f>
        <v/>
      </c>
      <c r="D14" s="89" t="inlineStr">
        <is>
          <t>P</t>
        </is>
      </c>
      <c r="E14" s="89" t="inlineStr">
        <is>
          <t>P</t>
        </is>
      </c>
      <c r="F14" s="89" t="inlineStr">
        <is>
          <t>P</t>
        </is>
      </c>
      <c r="G14" s="89" t="inlineStr">
        <is>
          <t>P</t>
        </is>
      </c>
      <c r="H14" s="89" t="inlineStr">
        <is>
          <t>P</t>
        </is>
      </c>
      <c r="I14" s="89" t="inlineStr">
        <is>
          <t>P</t>
        </is>
      </c>
      <c r="J14" s="89" t="inlineStr">
        <is>
          <t>P</t>
        </is>
      </c>
      <c r="K14" s="89" t="inlineStr">
        <is>
          <t>P</t>
        </is>
      </c>
      <c r="L14" s="89" t="inlineStr">
        <is>
          <t>P</t>
        </is>
      </c>
      <c r="M14" s="89" t="inlineStr">
        <is>
          <t>P</t>
        </is>
      </c>
      <c r="N14" s="89" t="inlineStr">
        <is>
          <t>P</t>
        </is>
      </c>
      <c r="O14" s="89" t="inlineStr">
        <is>
          <t>P</t>
        </is>
      </c>
      <c r="P14" s="89" t="inlineStr">
        <is>
          <t>P</t>
        </is>
      </c>
      <c r="Q14" s="89" t="inlineStr">
        <is>
          <t>P</t>
        </is>
      </c>
      <c r="R14" s="89" t="inlineStr">
        <is>
          <t>P</t>
        </is>
      </c>
      <c r="S14" s="89" t="inlineStr">
        <is>
          <t>P</t>
        </is>
      </c>
      <c r="T14" s="89" t="inlineStr">
        <is>
          <t>P</t>
        </is>
      </c>
      <c r="U14" s="89" t="inlineStr">
        <is>
          <t>P</t>
        </is>
      </c>
      <c r="V14" s="89" t="inlineStr">
        <is>
          <t>P</t>
        </is>
      </c>
      <c r="W14" s="89" t="inlineStr">
        <is>
          <t>P</t>
        </is>
      </c>
      <c r="X14" s="89" t="inlineStr">
        <is>
          <t>P</t>
        </is>
      </c>
      <c r="Y14" s="89" t="inlineStr">
        <is>
          <t>P</t>
        </is>
      </c>
      <c r="Z14" s="89" t="inlineStr">
        <is>
          <t>P</t>
        </is>
      </c>
      <c r="AA14" s="89" t="inlineStr">
        <is>
          <t>P</t>
        </is>
      </c>
      <c r="AB14" s="89" t="inlineStr">
        <is>
          <t>P</t>
        </is>
      </c>
      <c r="AC14" s="89" t="inlineStr">
        <is>
          <t>P</t>
        </is>
      </c>
      <c r="AD14" s="89" t="inlineStr">
        <is>
          <t>P</t>
        </is>
      </c>
      <c r="AE14" s="89" t="inlineStr">
        <is>
          <t>P</t>
        </is>
      </c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8">
        <f>IF($A15="","",'Employee Master'!C15)</f>
        <v/>
      </c>
      <c r="D15" s="89" t="inlineStr">
        <is>
          <t>P</t>
        </is>
      </c>
      <c r="E15" s="89" t="inlineStr">
        <is>
          <t>P</t>
        </is>
      </c>
      <c r="F15" s="89" t="inlineStr">
        <is>
          <t>P</t>
        </is>
      </c>
      <c r="G15" s="89" t="inlineStr">
        <is>
          <t>P</t>
        </is>
      </c>
      <c r="H15" s="89" t="inlineStr">
        <is>
          <t>P</t>
        </is>
      </c>
      <c r="I15" s="89" t="inlineStr">
        <is>
          <t>P</t>
        </is>
      </c>
      <c r="J15" s="89" t="inlineStr">
        <is>
          <t>P</t>
        </is>
      </c>
      <c r="K15" s="89" t="inlineStr">
        <is>
          <t>P</t>
        </is>
      </c>
      <c r="L15" s="121" t="inlineStr">
        <is>
          <t>UA</t>
        </is>
      </c>
      <c r="M15" s="121" t="inlineStr">
        <is>
          <t>UA</t>
        </is>
      </c>
      <c r="N15" s="121" t="inlineStr">
        <is>
          <t>UA</t>
        </is>
      </c>
      <c r="O15" s="121" t="inlineStr">
        <is>
          <t>UA</t>
        </is>
      </c>
      <c r="P15" s="121" t="inlineStr">
        <is>
          <t>UA</t>
        </is>
      </c>
      <c r="Q15" s="121" t="inlineStr">
        <is>
          <t>UA</t>
        </is>
      </c>
      <c r="R15" s="121" t="inlineStr">
        <is>
          <t>UA</t>
        </is>
      </c>
      <c r="S15" s="121" t="inlineStr">
        <is>
          <t>UA</t>
        </is>
      </c>
      <c r="T15" s="121" t="inlineStr">
        <is>
          <t>UA</t>
        </is>
      </c>
      <c r="U15" s="121" t="inlineStr">
        <is>
          <t>UA</t>
        </is>
      </c>
      <c r="V15" s="121" t="inlineStr">
        <is>
          <t>UA</t>
        </is>
      </c>
      <c r="W15" s="121" t="inlineStr">
        <is>
          <t>UA</t>
        </is>
      </c>
      <c r="X15" s="89" t="inlineStr">
        <is>
          <t>P</t>
        </is>
      </c>
      <c r="Y15" s="89" t="inlineStr">
        <is>
          <t>P</t>
        </is>
      </c>
      <c r="Z15" s="89" t="inlineStr">
        <is>
          <t>P</t>
        </is>
      </c>
      <c r="AA15" s="89" t="inlineStr">
        <is>
          <t>P</t>
        </is>
      </c>
      <c r="AB15" s="89" t="inlineStr">
        <is>
          <t>P</t>
        </is>
      </c>
      <c r="AC15" s="89" t="inlineStr">
        <is>
          <t>P</t>
        </is>
      </c>
      <c r="AD15" s="89" t="inlineStr">
        <is>
          <t>P</t>
        </is>
      </c>
      <c r="AE15" s="89" t="inlineStr">
        <is>
          <t>P</t>
        </is>
      </c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8">
        <f>IF($A16="","",'Employee Master'!C16)</f>
        <v/>
      </c>
      <c r="D16" s="89" t="inlineStr">
        <is>
          <t>P</t>
        </is>
      </c>
      <c r="E16" s="89" t="inlineStr">
        <is>
          <t>P</t>
        </is>
      </c>
      <c r="F16" s="89" t="inlineStr">
        <is>
          <t>P</t>
        </is>
      </c>
      <c r="G16" s="89" t="inlineStr">
        <is>
          <t>P</t>
        </is>
      </c>
      <c r="H16" s="89" t="inlineStr">
        <is>
          <t>P</t>
        </is>
      </c>
      <c r="I16" s="89" t="inlineStr">
        <is>
          <t>P</t>
        </is>
      </c>
      <c r="J16" s="89" t="inlineStr">
        <is>
          <t>P</t>
        </is>
      </c>
      <c r="K16" s="89" t="inlineStr">
        <is>
          <t>P</t>
        </is>
      </c>
      <c r="L16" s="89" t="inlineStr">
        <is>
          <t>P</t>
        </is>
      </c>
      <c r="M16" s="121" t="inlineStr">
        <is>
          <t>UA</t>
        </is>
      </c>
      <c r="N16" s="89" t="inlineStr">
        <is>
          <t>P</t>
        </is>
      </c>
      <c r="O16" s="89" t="inlineStr">
        <is>
          <t>P</t>
        </is>
      </c>
      <c r="P16" s="89" t="inlineStr">
        <is>
          <t>P</t>
        </is>
      </c>
      <c r="Q16" s="89" t="inlineStr">
        <is>
          <t>P</t>
        </is>
      </c>
      <c r="R16" s="89" t="inlineStr">
        <is>
          <t>P</t>
        </is>
      </c>
      <c r="S16" s="89" t="inlineStr">
        <is>
          <t>P</t>
        </is>
      </c>
      <c r="T16" s="89" t="inlineStr">
        <is>
          <t>P</t>
        </is>
      </c>
      <c r="U16" s="89" t="inlineStr">
        <is>
          <t>P</t>
        </is>
      </c>
      <c r="V16" s="89" t="inlineStr">
        <is>
          <t>P</t>
        </is>
      </c>
      <c r="W16" s="89" t="inlineStr">
        <is>
          <t>P</t>
        </is>
      </c>
      <c r="X16" s="89" t="inlineStr">
        <is>
          <t>P</t>
        </is>
      </c>
      <c r="Y16" s="89" t="inlineStr">
        <is>
          <t>P</t>
        </is>
      </c>
      <c r="Z16" s="89" t="inlineStr">
        <is>
          <t>P</t>
        </is>
      </c>
      <c r="AA16" s="89" t="inlineStr">
        <is>
          <t>P</t>
        </is>
      </c>
      <c r="AB16" s="89" t="inlineStr">
        <is>
          <t>P</t>
        </is>
      </c>
      <c r="AC16" s="89" t="inlineStr">
        <is>
          <t>P</t>
        </is>
      </c>
      <c r="AD16" s="89" t="inlineStr">
        <is>
          <t>P</t>
        </is>
      </c>
      <c r="AE16" s="89" t="inlineStr">
        <is>
          <t>P</t>
        </is>
      </c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8">
        <f>IF($A17="","",'Employee Master'!C17)</f>
        <v/>
      </c>
      <c r="D17" s="89" t="inlineStr">
        <is>
          <t>P</t>
        </is>
      </c>
      <c r="E17" s="89" t="inlineStr">
        <is>
          <t>P</t>
        </is>
      </c>
      <c r="F17" s="89" t="inlineStr">
        <is>
          <t>P</t>
        </is>
      </c>
      <c r="G17" s="89" t="inlineStr">
        <is>
          <t>P</t>
        </is>
      </c>
      <c r="H17" s="89" t="inlineStr">
        <is>
          <t>P</t>
        </is>
      </c>
      <c r="I17" s="89" t="inlineStr">
        <is>
          <t>P</t>
        </is>
      </c>
      <c r="J17" s="89" t="inlineStr">
        <is>
          <t>P</t>
        </is>
      </c>
      <c r="K17" s="89" t="inlineStr">
        <is>
          <t>P</t>
        </is>
      </c>
      <c r="L17" s="89" t="inlineStr">
        <is>
          <t>P</t>
        </is>
      </c>
      <c r="M17" s="89" t="inlineStr">
        <is>
          <t>P</t>
        </is>
      </c>
      <c r="N17" s="89" t="inlineStr">
        <is>
          <t>P</t>
        </is>
      </c>
      <c r="O17" s="89" t="inlineStr">
        <is>
          <t>P</t>
        </is>
      </c>
      <c r="P17" s="89" t="inlineStr">
        <is>
          <t>P</t>
        </is>
      </c>
      <c r="Q17" s="89" t="inlineStr">
        <is>
          <t>P</t>
        </is>
      </c>
      <c r="R17" s="89" t="inlineStr">
        <is>
          <t>P</t>
        </is>
      </c>
      <c r="S17" s="89" t="inlineStr">
        <is>
          <t>P</t>
        </is>
      </c>
      <c r="T17" s="89" t="inlineStr">
        <is>
          <t>P</t>
        </is>
      </c>
      <c r="U17" s="89" t="inlineStr">
        <is>
          <t>P</t>
        </is>
      </c>
      <c r="V17" s="89" t="inlineStr">
        <is>
          <t>P</t>
        </is>
      </c>
      <c r="W17" s="89" t="inlineStr">
        <is>
          <t>P</t>
        </is>
      </c>
      <c r="X17" s="89" t="inlineStr">
        <is>
          <t>P</t>
        </is>
      </c>
      <c r="Y17" s="89" t="inlineStr">
        <is>
          <t>P</t>
        </is>
      </c>
      <c r="Z17" s="89" t="inlineStr">
        <is>
          <t>P</t>
        </is>
      </c>
      <c r="AA17" s="89" t="inlineStr">
        <is>
          <t>P</t>
        </is>
      </c>
      <c r="AB17" s="89" t="inlineStr">
        <is>
          <t>P</t>
        </is>
      </c>
      <c r="AC17" s="89" t="inlineStr">
        <is>
          <t>P</t>
        </is>
      </c>
      <c r="AD17" s="89" t="inlineStr">
        <is>
          <t>P</t>
        </is>
      </c>
      <c r="AE17" s="89" t="inlineStr">
        <is>
          <t>P</t>
        </is>
      </c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8">
        <f>IF($A18="","",'Employee Master'!C18)</f>
        <v/>
      </c>
      <c r="D18" s="89" t="inlineStr">
        <is>
          <t>P</t>
        </is>
      </c>
      <c r="E18" s="89" t="inlineStr">
        <is>
          <t>P</t>
        </is>
      </c>
      <c r="F18" s="89" t="inlineStr">
        <is>
          <t>P</t>
        </is>
      </c>
      <c r="G18" s="89" t="inlineStr">
        <is>
          <t>P</t>
        </is>
      </c>
      <c r="H18" s="89" t="inlineStr">
        <is>
          <t>P</t>
        </is>
      </c>
      <c r="I18" s="89" t="inlineStr">
        <is>
          <t>P</t>
        </is>
      </c>
      <c r="J18" s="89" t="inlineStr">
        <is>
          <t>P</t>
        </is>
      </c>
      <c r="K18" s="89" t="inlineStr">
        <is>
          <t>P</t>
        </is>
      </c>
      <c r="L18" s="89" t="inlineStr">
        <is>
          <t>P</t>
        </is>
      </c>
      <c r="M18" s="89" t="inlineStr">
        <is>
          <t>P</t>
        </is>
      </c>
      <c r="N18" s="89" t="inlineStr">
        <is>
          <t>P</t>
        </is>
      </c>
      <c r="O18" s="89" t="inlineStr">
        <is>
          <t>P</t>
        </is>
      </c>
      <c r="P18" s="89" t="inlineStr">
        <is>
          <t>P</t>
        </is>
      </c>
      <c r="Q18" s="89" t="inlineStr">
        <is>
          <t>P</t>
        </is>
      </c>
      <c r="R18" s="89" t="inlineStr">
        <is>
          <t>P</t>
        </is>
      </c>
      <c r="S18" s="89" t="inlineStr">
        <is>
          <t>P</t>
        </is>
      </c>
      <c r="T18" s="89" t="inlineStr">
        <is>
          <t>P</t>
        </is>
      </c>
      <c r="U18" s="89" t="inlineStr">
        <is>
          <t>P</t>
        </is>
      </c>
      <c r="V18" s="89" t="inlineStr">
        <is>
          <t>P</t>
        </is>
      </c>
      <c r="W18" s="89" t="inlineStr">
        <is>
          <t>P</t>
        </is>
      </c>
      <c r="X18" s="89" t="inlineStr">
        <is>
          <t>P</t>
        </is>
      </c>
      <c r="Y18" s="89" t="inlineStr">
        <is>
          <t>P</t>
        </is>
      </c>
      <c r="Z18" s="89" t="inlineStr">
        <is>
          <t>P</t>
        </is>
      </c>
      <c r="AA18" s="89" t="inlineStr">
        <is>
          <t>P</t>
        </is>
      </c>
      <c r="AB18" s="89" t="inlineStr">
        <is>
          <t>P</t>
        </is>
      </c>
      <c r="AC18" s="89" t="inlineStr">
        <is>
          <t>P</t>
        </is>
      </c>
      <c r="AD18" s="89" t="inlineStr">
        <is>
          <t>P</t>
        </is>
      </c>
      <c r="AE18" s="89" t="inlineStr">
        <is>
          <t>P</t>
        </is>
      </c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8">
        <f>IF($A19="","",'Employee Master'!C19)</f>
        <v/>
      </c>
      <c r="D19" s="89" t="inlineStr">
        <is>
          <t>P</t>
        </is>
      </c>
      <c r="E19" s="89" t="inlineStr">
        <is>
          <t>P</t>
        </is>
      </c>
      <c r="F19" s="89" t="inlineStr">
        <is>
          <t>P</t>
        </is>
      </c>
      <c r="G19" s="89" t="inlineStr">
        <is>
          <t>P</t>
        </is>
      </c>
      <c r="H19" s="89" t="inlineStr">
        <is>
          <t>P</t>
        </is>
      </c>
      <c r="I19" s="89" t="inlineStr">
        <is>
          <t>P</t>
        </is>
      </c>
      <c r="J19" s="89" t="inlineStr">
        <is>
          <t>P</t>
        </is>
      </c>
      <c r="K19" s="89" t="inlineStr">
        <is>
          <t>P</t>
        </is>
      </c>
      <c r="L19" s="89" t="inlineStr">
        <is>
          <t>P</t>
        </is>
      </c>
      <c r="M19" s="89" t="inlineStr">
        <is>
          <t>P</t>
        </is>
      </c>
      <c r="N19" s="89" t="inlineStr">
        <is>
          <t>P</t>
        </is>
      </c>
      <c r="O19" s="89" t="inlineStr">
        <is>
          <t>P</t>
        </is>
      </c>
      <c r="P19" s="121" t="inlineStr">
        <is>
          <t>UA</t>
        </is>
      </c>
      <c r="Q19" s="89" t="inlineStr">
        <is>
          <t>P</t>
        </is>
      </c>
      <c r="R19" s="89" t="inlineStr">
        <is>
          <t>P</t>
        </is>
      </c>
      <c r="S19" s="89" t="inlineStr">
        <is>
          <t>P</t>
        </is>
      </c>
      <c r="T19" s="89" t="inlineStr">
        <is>
          <t>P</t>
        </is>
      </c>
      <c r="U19" s="89" t="inlineStr">
        <is>
          <t>P</t>
        </is>
      </c>
      <c r="V19" s="89" t="inlineStr">
        <is>
          <t>P</t>
        </is>
      </c>
      <c r="W19" s="89" t="inlineStr">
        <is>
          <t>P</t>
        </is>
      </c>
      <c r="X19" s="89" t="inlineStr">
        <is>
          <t>P</t>
        </is>
      </c>
      <c r="Y19" s="89" t="inlineStr">
        <is>
          <t>P</t>
        </is>
      </c>
      <c r="Z19" s="89" t="inlineStr">
        <is>
          <t>P</t>
        </is>
      </c>
      <c r="AA19" s="89" t="inlineStr">
        <is>
          <t>P</t>
        </is>
      </c>
      <c r="AB19" s="89" t="inlineStr">
        <is>
          <t>P</t>
        </is>
      </c>
      <c r="AC19" s="89" t="inlineStr">
        <is>
          <t>P</t>
        </is>
      </c>
      <c r="AD19" s="89" t="inlineStr">
        <is>
          <t>P</t>
        </is>
      </c>
      <c r="AE19" s="89" t="inlineStr">
        <is>
          <t>P</t>
        </is>
      </c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8">
        <f>IF($A20="","",'Employee Master'!C20)</f>
        <v/>
      </c>
      <c r="D20" s="89" t="inlineStr">
        <is>
          <t>P</t>
        </is>
      </c>
      <c r="E20" s="89" t="inlineStr">
        <is>
          <t>P</t>
        </is>
      </c>
      <c r="F20" s="89" t="inlineStr">
        <is>
          <t>P</t>
        </is>
      </c>
      <c r="G20" s="89" t="inlineStr">
        <is>
          <t>P</t>
        </is>
      </c>
      <c r="H20" s="89" t="inlineStr">
        <is>
          <t>P</t>
        </is>
      </c>
      <c r="I20" s="89" t="inlineStr">
        <is>
          <t>P</t>
        </is>
      </c>
      <c r="J20" s="89" t="inlineStr">
        <is>
          <t>P</t>
        </is>
      </c>
      <c r="K20" s="89" t="inlineStr">
        <is>
          <t>P</t>
        </is>
      </c>
      <c r="L20" s="89" t="inlineStr">
        <is>
          <t>P</t>
        </is>
      </c>
      <c r="M20" s="89" t="inlineStr">
        <is>
          <t>P</t>
        </is>
      </c>
      <c r="N20" s="89" t="inlineStr">
        <is>
          <t>P</t>
        </is>
      </c>
      <c r="O20" s="89" t="inlineStr">
        <is>
          <t>P</t>
        </is>
      </c>
      <c r="P20" s="89" t="inlineStr">
        <is>
          <t>P</t>
        </is>
      </c>
      <c r="Q20" s="89" t="inlineStr">
        <is>
          <t>P</t>
        </is>
      </c>
      <c r="R20" s="89" t="inlineStr">
        <is>
          <t>P</t>
        </is>
      </c>
      <c r="S20" s="89" t="inlineStr">
        <is>
          <t>P</t>
        </is>
      </c>
      <c r="T20" s="89" t="inlineStr">
        <is>
          <t>P</t>
        </is>
      </c>
      <c r="U20" s="89" t="inlineStr">
        <is>
          <t>P</t>
        </is>
      </c>
      <c r="V20" s="89" t="inlineStr">
        <is>
          <t>P</t>
        </is>
      </c>
      <c r="W20" s="89" t="inlineStr">
        <is>
          <t>P</t>
        </is>
      </c>
      <c r="X20" s="89" t="inlineStr">
        <is>
          <t>P</t>
        </is>
      </c>
      <c r="Y20" s="89" t="inlineStr">
        <is>
          <t>P</t>
        </is>
      </c>
      <c r="Z20" s="89" t="inlineStr">
        <is>
          <t>P</t>
        </is>
      </c>
      <c r="AA20" s="89" t="inlineStr">
        <is>
          <t>P</t>
        </is>
      </c>
      <c r="AB20" s="89" t="inlineStr">
        <is>
          <t>P</t>
        </is>
      </c>
      <c r="AC20" s="89" t="inlineStr">
        <is>
          <t>P</t>
        </is>
      </c>
      <c r="AD20" s="89" t="inlineStr">
        <is>
          <t>P</t>
        </is>
      </c>
      <c r="AE20" s="89" t="inlineStr">
        <is>
          <t>P</t>
        </is>
      </c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8">
        <f>IF($A21="","",'Employee Master'!C21)</f>
        <v/>
      </c>
      <c r="D21" s="121" t="inlineStr">
        <is>
          <t>UA</t>
        </is>
      </c>
      <c r="E21" s="121" t="inlineStr">
        <is>
          <t>UA</t>
        </is>
      </c>
      <c r="F21" s="121" t="inlineStr">
        <is>
          <t>UA</t>
        </is>
      </c>
      <c r="G21" s="121" t="inlineStr">
        <is>
          <t>UA</t>
        </is>
      </c>
      <c r="H21" s="121" t="inlineStr">
        <is>
          <t>UA</t>
        </is>
      </c>
      <c r="I21" s="121" t="inlineStr">
        <is>
          <t>UA</t>
        </is>
      </c>
      <c r="J21" s="121" t="inlineStr">
        <is>
          <t>UA</t>
        </is>
      </c>
      <c r="K21" s="121" t="inlineStr">
        <is>
          <t>UA</t>
        </is>
      </c>
      <c r="L21" s="121" t="inlineStr">
        <is>
          <t>UA</t>
        </is>
      </c>
      <c r="M21" s="121" t="inlineStr">
        <is>
          <t>UA</t>
        </is>
      </c>
      <c r="N21" s="121" t="inlineStr">
        <is>
          <t>UA</t>
        </is>
      </c>
      <c r="O21" s="121" t="inlineStr">
        <is>
          <t>UA</t>
        </is>
      </c>
      <c r="P21" s="121" t="inlineStr">
        <is>
          <t>UA</t>
        </is>
      </c>
      <c r="Q21" s="121" t="inlineStr">
        <is>
          <t>UA</t>
        </is>
      </c>
      <c r="R21" s="121" t="inlineStr">
        <is>
          <t>UA</t>
        </is>
      </c>
      <c r="S21" s="121" t="inlineStr">
        <is>
          <t>UA</t>
        </is>
      </c>
      <c r="T21" s="121" t="inlineStr">
        <is>
          <t>UA</t>
        </is>
      </c>
      <c r="U21" s="121" t="inlineStr">
        <is>
          <t>UA</t>
        </is>
      </c>
      <c r="V21" s="121" t="inlineStr">
        <is>
          <t>UA</t>
        </is>
      </c>
      <c r="W21" s="121" t="inlineStr">
        <is>
          <t>UA</t>
        </is>
      </c>
      <c r="X21" s="121" t="inlineStr">
        <is>
          <t>UA</t>
        </is>
      </c>
      <c r="Y21" s="121" t="inlineStr">
        <is>
          <t>UA</t>
        </is>
      </c>
      <c r="Z21" s="121" t="inlineStr">
        <is>
          <t>UA</t>
        </is>
      </c>
      <c r="AA21" s="89" t="inlineStr">
        <is>
          <t>P</t>
        </is>
      </c>
      <c r="AB21" s="89" t="inlineStr">
        <is>
          <t>P</t>
        </is>
      </c>
      <c r="AC21" s="89" t="inlineStr">
        <is>
          <t>P</t>
        </is>
      </c>
      <c r="AD21" s="89" t="inlineStr">
        <is>
          <t>P</t>
        </is>
      </c>
      <c r="AE21" s="89" t="inlineStr">
        <is>
          <t>P</t>
        </is>
      </c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8">
        <f>IF($A22="","",'Employee Master'!C22)</f>
        <v/>
      </c>
      <c r="D22" s="89" t="inlineStr">
        <is>
          <t>P</t>
        </is>
      </c>
      <c r="E22" s="89" t="inlineStr">
        <is>
          <t>P</t>
        </is>
      </c>
      <c r="F22" s="89" t="inlineStr">
        <is>
          <t>P</t>
        </is>
      </c>
      <c r="G22" s="89" t="inlineStr">
        <is>
          <t>P</t>
        </is>
      </c>
      <c r="H22" s="89" t="inlineStr">
        <is>
          <t>P</t>
        </is>
      </c>
      <c r="I22" s="89" t="inlineStr">
        <is>
          <t>P</t>
        </is>
      </c>
      <c r="J22" s="89" t="inlineStr">
        <is>
          <t>P</t>
        </is>
      </c>
      <c r="K22" s="89" t="inlineStr">
        <is>
          <t>P</t>
        </is>
      </c>
      <c r="L22" s="89" t="inlineStr">
        <is>
          <t>P</t>
        </is>
      </c>
      <c r="M22" s="89" t="inlineStr">
        <is>
          <t>P</t>
        </is>
      </c>
      <c r="N22" s="89" t="inlineStr">
        <is>
          <t>P</t>
        </is>
      </c>
      <c r="O22" s="89" t="inlineStr">
        <is>
          <t>P</t>
        </is>
      </c>
      <c r="P22" s="89" t="inlineStr">
        <is>
          <t>P</t>
        </is>
      </c>
      <c r="Q22" s="89" t="inlineStr">
        <is>
          <t>P</t>
        </is>
      </c>
      <c r="R22" s="89" t="inlineStr">
        <is>
          <t>P</t>
        </is>
      </c>
      <c r="S22" s="89" t="inlineStr">
        <is>
          <t>P</t>
        </is>
      </c>
      <c r="T22" s="89" t="inlineStr">
        <is>
          <t>P</t>
        </is>
      </c>
      <c r="U22" s="89" t="inlineStr">
        <is>
          <t>P</t>
        </is>
      </c>
      <c r="V22" s="89" t="inlineStr">
        <is>
          <t>P</t>
        </is>
      </c>
      <c r="W22" s="89" t="inlineStr">
        <is>
          <t>P</t>
        </is>
      </c>
      <c r="X22" s="89" t="inlineStr">
        <is>
          <t>P</t>
        </is>
      </c>
      <c r="Y22" s="89" t="inlineStr">
        <is>
          <t>P</t>
        </is>
      </c>
      <c r="Z22" s="89" t="inlineStr">
        <is>
          <t>P</t>
        </is>
      </c>
      <c r="AA22" s="89" t="inlineStr">
        <is>
          <t>P</t>
        </is>
      </c>
      <c r="AB22" s="89" t="inlineStr">
        <is>
          <t>P</t>
        </is>
      </c>
      <c r="AC22" s="89" t="inlineStr">
        <is>
          <t>P</t>
        </is>
      </c>
      <c r="AD22" s="89" t="inlineStr">
        <is>
          <t>P</t>
        </is>
      </c>
      <c r="AE22" s="89" t="inlineStr">
        <is>
          <t>P</t>
        </is>
      </c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8">
        <f>IF($A23="","",'Employee Master'!C23)</f>
        <v/>
      </c>
      <c r="D23" s="89" t="inlineStr">
        <is>
          <t>P</t>
        </is>
      </c>
      <c r="E23" s="89" t="inlineStr">
        <is>
          <t>P</t>
        </is>
      </c>
      <c r="F23" s="89" t="inlineStr">
        <is>
          <t>P</t>
        </is>
      </c>
      <c r="G23" s="89" t="inlineStr">
        <is>
          <t>P</t>
        </is>
      </c>
      <c r="H23" s="89" t="inlineStr">
        <is>
          <t>P</t>
        </is>
      </c>
      <c r="I23" s="89" t="inlineStr">
        <is>
          <t>P</t>
        </is>
      </c>
      <c r="J23" s="89" t="inlineStr">
        <is>
          <t>P</t>
        </is>
      </c>
      <c r="K23" s="89" t="inlineStr">
        <is>
          <t>P</t>
        </is>
      </c>
      <c r="L23" s="89" t="inlineStr">
        <is>
          <t>P</t>
        </is>
      </c>
      <c r="M23" s="89" t="inlineStr">
        <is>
          <t>P</t>
        </is>
      </c>
      <c r="N23" s="89" t="inlineStr">
        <is>
          <t>P</t>
        </is>
      </c>
      <c r="O23" s="89" t="inlineStr">
        <is>
          <t>P</t>
        </is>
      </c>
      <c r="P23" s="89" t="inlineStr">
        <is>
          <t>P</t>
        </is>
      </c>
      <c r="Q23" s="89" t="inlineStr">
        <is>
          <t>P</t>
        </is>
      </c>
      <c r="R23" s="89" t="inlineStr">
        <is>
          <t>P</t>
        </is>
      </c>
      <c r="S23" s="89" t="inlineStr">
        <is>
          <t>P</t>
        </is>
      </c>
      <c r="T23" s="89" t="inlineStr">
        <is>
          <t>P</t>
        </is>
      </c>
      <c r="U23" s="89" t="inlineStr">
        <is>
          <t>P</t>
        </is>
      </c>
      <c r="V23" s="89" t="inlineStr">
        <is>
          <t>P</t>
        </is>
      </c>
      <c r="W23" s="89" t="inlineStr">
        <is>
          <t>P</t>
        </is>
      </c>
      <c r="X23" s="89" t="inlineStr">
        <is>
          <t>P</t>
        </is>
      </c>
      <c r="Y23" s="89" t="inlineStr">
        <is>
          <t>P</t>
        </is>
      </c>
      <c r="Z23" s="89" t="inlineStr">
        <is>
          <t>P</t>
        </is>
      </c>
      <c r="AA23" s="89" t="inlineStr">
        <is>
          <t>P</t>
        </is>
      </c>
      <c r="AB23" s="89" t="inlineStr">
        <is>
          <t>P</t>
        </is>
      </c>
      <c r="AC23" s="89" t="inlineStr">
        <is>
          <t>P</t>
        </is>
      </c>
      <c r="AD23" s="121" t="inlineStr">
        <is>
          <t>UA</t>
        </is>
      </c>
      <c r="AE23" s="121" t="inlineStr">
        <is>
          <t>UA</t>
        </is>
      </c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8">
        <f>IF($A24="","",'Employee Master'!C24)</f>
        <v/>
      </c>
      <c r="D24" s="89" t="inlineStr">
        <is>
          <t>P</t>
        </is>
      </c>
      <c r="E24" s="89" t="inlineStr">
        <is>
          <t>P</t>
        </is>
      </c>
      <c r="F24" s="89" t="inlineStr">
        <is>
          <t>P</t>
        </is>
      </c>
      <c r="G24" s="89" t="inlineStr">
        <is>
          <t>P</t>
        </is>
      </c>
      <c r="H24" s="89" t="inlineStr">
        <is>
          <t>P</t>
        </is>
      </c>
      <c r="I24" s="89" t="inlineStr">
        <is>
          <t>P</t>
        </is>
      </c>
      <c r="J24" s="89" t="inlineStr">
        <is>
          <t>P</t>
        </is>
      </c>
      <c r="K24" s="89" t="inlineStr">
        <is>
          <t>P</t>
        </is>
      </c>
      <c r="L24" s="89" t="inlineStr">
        <is>
          <t>P</t>
        </is>
      </c>
      <c r="M24" s="89" t="inlineStr">
        <is>
          <t>P</t>
        </is>
      </c>
      <c r="N24" s="89" t="inlineStr">
        <is>
          <t>P</t>
        </is>
      </c>
      <c r="O24" s="89" t="inlineStr">
        <is>
          <t>P</t>
        </is>
      </c>
      <c r="P24" s="89" t="inlineStr">
        <is>
          <t>P</t>
        </is>
      </c>
      <c r="Q24" s="89" t="inlineStr">
        <is>
          <t>P</t>
        </is>
      </c>
      <c r="R24" s="89" t="inlineStr">
        <is>
          <t>P</t>
        </is>
      </c>
      <c r="S24" s="89" t="inlineStr">
        <is>
          <t>P</t>
        </is>
      </c>
      <c r="T24" s="89" t="inlineStr">
        <is>
          <t>P</t>
        </is>
      </c>
      <c r="U24" s="89" t="inlineStr">
        <is>
          <t>P</t>
        </is>
      </c>
      <c r="V24" s="89" t="inlineStr">
        <is>
          <t>P</t>
        </is>
      </c>
      <c r="W24" s="89" t="inlineStr">
        <is>
          <t>P</t>
        </is>
      </c>
      <c r="X24" s="89" t="inlineStr">
        <is>
          <t>P</t>
        </is>
      </c>
      <c r="Y24" s="89" t="inlineStr">
        <is>
          <t>P</t>
        </is>
      </c>
      <c r="Z24" s="89" t="inlineStr">
        <is>
          <t>P</t>
        </is>
      </c>
      <c r="AA24" s="89" t="inlineStr">
        <is>
          <t>P</t>
        </is>
      </c>
      <c r="AB24" s="89" t="inlineStr">
        <is>
          <t>P</t>
        </is>
      </c>
      <c r="AC24" s="89" t="inlineStr">
        <is>
          <t>P</t>
        </is>
      </c>
      <c r="AD24" s="89" t="inlineStr">
        <is>
          <t>P</t>
        </is>
      </c>
      <c r="AE24" s="89" t="inlineStr">
        <is>
          <t>P</t>
        </is>
      </c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8">
        <f>IF($A25="","",'Employee Master'!C25)</f>
        <v/>
      </c>
      <c r="D25" s="89" t="inlineStr">
        <is>
          <t>P</t>
        </is>
      </c>
      <c r="E25" s="89" t="inlineStr">
        <is>
          <t>P</t>
        </is>
      </c>
      <c r="F25" s="89" t="inlineStr">
        <is>
          <t>P</t>
        </is>
      </c>
      <c r="G25" s="89" t="inlineStr">
        <is>
          <t>P</t>
        </is>
      </c>
      <c r="H25" s="89" t="inlineStr">
        <is>
          <t>P</t>
        </is>
      </c>
      <c r="I25" s="89" t="inlineStr">
        <is>
          <t>P</t>
        </is>
      </c>
      <c r="J25" s="89" t="inlineStr">
        <is>
          <t>P</t>
        </is>
      </c>
      <c r="K25" s="89" t="inlineStr">
        <is>
          <t>P</t>
        </is>
      </c>
      <c r="L25" s="89" t="inlineStr">
        <is>
          <t>P</t>
        </is>
      </c>
      <c r="M25" s="89" t="inlineStr">
        <is>
          <t>P</t>
        </is>
      </c>
      <c r="N25" s="89" t="inlineStr">
        <is>
          <t>P</t>
        </is>
      </c>
      <c r="O25" s="89" t="inlineStr">
        <is>
          <t>P</t>
        </is>
      </c>
      <c r="P25" s="89" t="inlineStr">
        <is>
          <t>P</t>
        </is>
      </c>
      <c r="Q25" s="89" t="inlineStr">
        <is>
          <t>P</t>
        </is>
      </c>
      <c r="R25" s="89" t="inlineStr">
        <is>
          <t>P</t>
        </is>
      </c>
      <c r="S25" s="89" t="inlineStr">
        <is>
          <t>P</t>
        </is>
      </c>
      <c r="T25" s="89" t="inlineStr">
        <is>
          <t>P</t>
        </is>
      </c>
      <c r="U25" s="89" t="inlineStr">
        <is>
          <t>P</t>
        </is>
      </c>
      <c r="V25" s="89" t="inlineStr">
        <is>
          <t>P</t>
        </is>
      </c>
      <c r="W25" s="89" t="inlineStr">
        <is>
          <t>P</t>
        </is>
      </c>
      <c r="X25" s="89" t="inlineStr">
        <is>
          <t>P</t>
        </is>
      </c>
      <c r="Y25" s="89" t="inlineStr">
        <is>
          <t>P</t>
        </is>
      </c>
      <c r="Z25" s="89" t="inlineStr">
        <is>
          <t>P</t>
        </is>
      </c>
      <c r="AA25" s="89" t="inlineStr">
        <is>
          <t>P</t>
        </is>
      </c>
      <c r="AB25" s="89" t="inlineStr">
        <is>
          <t>P</t>
        </is>
      </c>
      <c r="AC25" s="89" t="inlineStr">
        <is>
          <t>P</t>
        </is>
      </c>
      <c r="AD25" s="89" t="inlineStr">
        <is>
          <t>P</t>
        </is>
      </c>
      <c r="AE25" s="89" t="inlineStr">
        <is>
          <t>P</t>
        </is>
      </c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8">
        <f>IF($A26="","",'Employee Master'!C26)</f>
        <v/>
      </c>
      <c r="D26" s="89" t="inlineStr">
        <is>
          <t>P</t>
        </is>
      </c>
      <c r="E26" s="89" t="inlineStr">
        <is>
          <t>P</t>
        </is>
      </c>
      <c r="F26" s="89" t="inlineStr">
        <is>
          <t>P</t>
        </is>
      </c>
      <c r="G26" s="89" t="inlineStr">
        <is>
          <t>P</t>
        </is>
      </c>
      <c r="H26" s="89" t="inlineStr">
        <is>
          <t>P</t>
        </is>
      </c>
      <c r="I26" s="89" t="inlineStr">
        <is>
          <t>P</t>
        </is>
      </c>
      <c r="J26" s="89" t="inlineStr">
        <is>
          <t>P</t>
        </is>
      </c>
      <c r="K26" s="89" t="inlineStr">
        <is>
          <t>P</t>
        </is>
      </c>
      <c r="L26" s="89" t="inlineStr">
        <is>
          <t>P</t>
        </is>
      </c>
      <c r="M26" s="89" t="inlineStr">
        <is>
          <t>P</t>
        </is>
      </c>
      <c r="N26" s="89" t="inlineStr">
        <is>
          <t>P</t>
        </is>
      </c>
      <c r="O26" s="89" t="inlineStr">
        <is>
          <t>P</t>
        </is>
      </c>
      <c r="P26" s="89" t="inlineStr">
        <is>
          <t>P</t>
        </is>
      </c>
      <c r="Q26" s="89" t="inlineStr">
        <is>
          <t>P</t>
        </is>
      </c>
      <c r="R26" s="89" t="inlineStr">
        <is>
          <t>P</t>
        </is>
      </c>
      <c r="S26" s="89" t="inlineStr">
        <is>
          <t>P</t>
        </is>
      </c>
      <c r="T26" s="89" t="inlineStr">
        <is>
          <t>P</t>
        </is>
      </c>
      <c r="U26" s="89" t="inlineStr">
        <is>
          <t>P</t>
        </is>
      </c>
      <c r="V26" s="89" t="inlineStr">
        <is>
          <t>P</t>
        </is>
      </c>
      <c r="W26" s="89" t="inlineStr">
        <is>
          <t>P</t>
        </is>
      </c>
      <c r="X26" s="89" t="inlineStr">
        <is>
          <t>P</t>
        </is>
      </c>
      <c r="Y26" s="89" t="inlineStr">
        <is>
          <t>P</t>
        </is>
      </c>
      <c r="Z26" s="89" t="inlineStr">
        <is>
          <t>P</t>
        </is>
      </c>
      <c r="AA26" s="89" t="inlineStr">
        <is>
          <t>P</t>
        </is>
      </c>
      <c r="AB26" s="89" t="inlineStr">
        <is>
          <t>P</t>
        </is>
      </c>
      <c r="AC26" s="89" t="inlineStr">
        <is>
          <t>P</t>
        </is>
      </c>
      <c r="AD26" s="89" t="inlineStr">
        <is>
          <t>P</t>
        </is>
      </c>
      <c r="AE26" s="89" t="inlineStr">
        <is>
          <t>P</t>
        </is>
      </c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8">
        <f>IF($A27="","",'Employee Master'!C27)</f>
        <v/>
      </c>
      <c r="D27" s="89" t="inlineStr">
        <is>
          <t>P</t>
        </is>
      </c>
      <c r="E27" s="89" t="inlineStr">
        <is>
          <t>P</t>
        </is>
      </c>
      <c r="F27" s="89" t="inlineStr">
        <is>
          <t>P</t>
        </is>
      </c>
      <c r="G27" s="89" t="inlineStr">
        <is>
          <t>P</t>
        </is>
      </c>
      <c r="H27" s="89" t="inlineStr">
        <is>
          <t>P</t>
        </is>
      </c>
      <c r="I27" s="89" t="inlineStr">
        <is>
          <t>P</t>
        </is>
      </c>
      <c r="J27" s="89" t="inlineStr">
        <is>
          <t>P</t>
        </is>
      </c>
      <c r="K27" s="89" t="inlineStr">
        <is>
          <t>P</t>
        </is>
      </c>
      <c r="L27" s="89" t="inlineStr">
        <is>
          <t>P</t>
        </is>
      </c>
      <c r="M27" s="89" t="inlineStr">
        <is>
          <t>P</t>
        </is>
      </c>
      <c r="N27" s="89" t="inlineStr">
        <is>
          <t>P</t>
        </is>
      </c>
      <c r="O27" s="89" t="inlineStr">
        <is>
          <t>P</t>
        </is>
      </c>
      <c r="P27" s="89" t="inlineStr">
        <is>
          <t>P</t>
        </is>
      </c>
      <c r="Q27" s="89" t="inlineStr">
        <is>
          <t>P</t>
        </is>
      </c>
      <c r="R27" s="89" t="inlineStr">
        <is>
          <t>P</t>
        </is>
      </c>
      <c r="S27" s="89" t="inlineStr">
        <is>
          <t>P</t>
        </is>
      </c>
      <c r="T27" s="89" t="inlineStr">
        <is>
          <t>P</t>
        </is>
      </c>
      <c r="U27" s="89" t="inlineStr">
        <is>
          <t>P</t>
        </is>
      </c>
      <c r="V27" s="89" t="inlineStr">
        <is>
          <t>P</t>
        </is>
      </c>
      <c r="W27" s="89" t="inlineStr">
        <is>
          <t>P</t>
        </is>
      </c>
      <c r="X27" s="89" t="inlineStr">
        <is>
          <t>P</t>
        </is>
      </c>
      <c r="Y27" s="89" t="inlineStr">
        <is>
          <t>P</t>
        </is>
      </c>
      <c r="Z27" s="89" t="inlineStr">
        <is>
          <t>P</t>
        </is>
      </c>
      <c r="AA27" s="89" t="inlineStr">
        <is>
          <t>P</t>
        </is>
      </c>
      <c r="AB27" s="89" t="inlineStr">
        <is>
          <t>P</t>
        </is>
      </c>
      <c r="AC27" s="89" t="inlineStr">
        <is>
          <t>P</t>
        </is>
      </c>
      <c r="AD27" s="121" t="inlineStr">
        <is>
          <t>UA</t>
        </is>
      </c>
      <c r="AE27" s="121" t="inlineStr">
        <is>
          <t>UA</t>
        </is>
      </c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8">
        <f>IF($A28="","",'Employee Master'!C28)</f>
        <v/>
      </c>
      <c r="D28" s="89" t="inlineStr">
        <is>
          <t>P</t>
        </is>
      </c>
      <c r="E28" s="89" t="inlineStr">
        <is>
          <t>P</t>
        </is>
      </c>
      <c r="F28" s="89" t="inlineStr">
        <is>
          <t>P</t>
        </is>
      </c>
      <c r="G28" s="89" t="inlineStr">
        <is>
          <t>P</t>
        </is>
      </c>
      <c r="H28" s="89" t="inlineStr">
        <is>
          <t>P</t>
        </is>
      </c>
      <c r="I28" s="89" t="inlineStr">
        <is>
          <t>P</t>
        </is>
      </c>
      <c r="J28" s="89" t="inlineStr">
        <is>
          <t>P</t>
        </is>
      </c>
      <c r="K28" s="89" t="inlineStr">
        <is>
          <t>P</t>
        </is>
      </c>
      <c r="L28" s="89" t="inlineStr">
        <is>
          <t>P</t>
        </is>
      </c>
      <c r="M28" s="89" t="inlineStr">
        <is>
          <t>P</t>
        </is>
      </c>
      <c r="N28" s="89" t="inlineStr">
        <is>
          <t>P</t>
        </is>
      </c>
      <c r="O28" s="89" t="inlineStr">
        <is>
          <t>P</t>
        </is>
      </c>
      <c r="P28" s="89" t="inlineStr">
        <is>
          <t>P</t>
        </is>
      </c>
      <c r="Q28" s="89" t="inlineStr">
        <is>
          <t>P</t>
        </is>
      </c>
      <c r="R28" s="89" t="inlineStr">
        <is>
          <t>P</t>
        </is>
      </c>
      <c r="S28" s="89" t="inlineStr">
        <is>
          <t>P</t>
        </is>
      </c>
      <c r="T28" s="89" t="inlineStr">
        <is>
          <t>P</t>
        </is>
      </c>
      <c r="U28" s="89" t="inlineStr">
        <is>
          <t>P</t>
        </is>
      </c>
      <c r="V28" s="89" t="inlineStr">
        <is>
          <t>P</t>
        </is>
      </c>
      <c r="W28" s="121" t="inlineStr">
        <is>
          <t>UA</t>
        </is>
      </c>
      <c r="X28" s="121" t="inlineStr">
        <is>
          <t>UA</t>
        </is>
      </c>
      <c r="Y28" s="121" t="inlineStr">
        <is>
          <t>UA</t>
        </is>
      </c>
      <c r="Z28" s="121" t="inlineStr">
        <is>
          <t>UA</t>
        </is>
      </c>
      <c r="AA28" s="121" t="inlineStr">
        <is>
          <t>UA</t>
        </is>
      </c>
      <c r="AB28" s="121" t="inlineStr">
        <is>
          <t>UA</t>
        </is>
      </c>
      <c r="AC28" s="121" t="inlineStr">
        <is>
          <t>UA</t>
        </is>
      </c>
      <c r="AD28" s="121" t="inlineStr">
        <is>
          <t>UA</t>
        </is>
      </c>
      <c r="AE28" s="121" t="inlineStr">
        <is>
          <t>UA</t>
        </is>
      </c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8">
        <f>IF($A29="","",'Employee Master'!C29)</f>
        <v/>
      </c>
      <c r="D29" s="89" t="inlineStr">
        <is>
          <t>P</t>
        </is>
      </c>
      <c r="E29" s="89" t="inlineStr">
        <is>
          <t>P</t>
        </is>
      </c>
      <c r="F29" s="89" t="inlineStr">
        <is>
          <t>P</t>
        </is>
      </c>
      <c r="G29" s="89" t="inlineStr">
        <is>
          <t>P</t>
        </is>
      </c>
      <c r="H29" s="89" t="inlineStr">
        <is>
          <t>P</t>
        </is>
      </c>
      <c r="I29" s="89" t="inlineStr">
        <is>
          <t>P</t>
        </is>
      </c>
      <c r="J29" s="89" t="inlineStr">
        <is>
          <t>P</t>
        </is>
      </c>
      <c r="K29" s="89" t="inlineStr">
        <is>
          <t>P</t>
        </is>
      </c>
      <c r="L29" s="89" t="inlineStr">
        <is>
          <t>P</t>
        </is>
      </c>
      <c r="M29" s="89" t="inlineStr">
        <is>
          <t>P</t>
        </is>
      </c>
      <c r="N29" s="89" t="inlineStr">
        <is>
          <t>P</t>
        </is>
      </c>
      <c r="O29" s="89" t="inlineStr">
        <is>
          <t>P</t>
        </is>
      </c>
      <c r="P29" s="89" t="inlineStr">
        <is>
          <t>P</t>
        </is>
      </c>
      <c r="Q29" s="89" t="inlineStr">
        <is>
          <t>P</t>
        </is>
      </c>
      <c r="R29" s="89" t="inlineStr">
        <is>
          <t>P</t>
        </is>
      </c>
      <c r="S29" s="89" t="inlineStr">
        <is>
          <t>P</t>
        </is>
      </c>
      <c r="T29" s="89" t="inlineStr">
        <is>
          <t>P</t>
        </is>
      </c>
      <c r="U29" s="89" t="inlineStr">
        <is>
          <t>P</t>
        </is>
      </c>
      <c r="V29" s="89" t="inlineStr">
        <is>
          <t>P</t>
        </is>
      </c>
      <c r="W29" s="89" t="inlineStr">
        <is>
          <t>P</t>
        </is>
      </c>
      <c r="X29" s="89" t="inlineStr">
        <is>
          <t>P</t>
        </is>
      </c>
      <c r="Y29" s="89" t="inlineStr">
        <is>
          <t>P</t>
        </is>
      </c>
      <c r="Z29" s="89" t="inlineStr">
        <is>
          <t>P</t>
        </is>
      </c>
      <c r="AA29" s="89" t="inlineStr">
        <is>
          <t>P</t>
        </is>
      </c>
      <c r="AB29" s="89" t="inlineStr">
        <is>
          <t>P</t>
        </is>
      </c>
      <c r="AC29" s="89" t="inlineStr">
        <is>
          <t>P</t>
        </is>
      </c>
      <c r="AD29" s="89" t="inlineStr">
        <is>
          <t>P</t>
        </is>
      </c>
      <c r="AE29" s="89" t="inlineStr">
        <is>
          <t>P</t>
        </is>
      </c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8">
        <f>IF($A30="","",'Employee Master'!C30)</f>
        <v/>
      </c>
      <c r="D30" s="89" t="inlineStr">
        <is>
          <t>P</t>
        </is>
      </c>
      <c r="E30" s="89" t="inlineStr">
        <is>
          <t>P</t>
        </is>
      </c>
      <c r="F30" s="89" t="inlineStr">
        <is>
          <t>P</t>
        </is>
      </c>
      <c r="G30" s="89" t="inlineStr">
        <is>
          <t>P</t>
        </is>
      </c>
      <c r="H30" s="89" t="inlineStr">
        <is>
          <t>P</t>
        </is>
      </c>
      <c r="I30" s="89" t="inlineStr">
        <is>
          <t>P</t>
        </is>
      </c>
      <c r="J30" s="89" t="inlineStr">
        <is>
          <t>P</t>
        </is>
      </c>
      <c r="K30" s="89" t="inlineStr">
        <is>
          <t>P</t>
        </is>
      </c>
      <c r="L30" s="89" t="inlineStr">
        <is>
          <t>P</t>
        </is>
      </c>
      <c r="M30" s="89" t="inlineStr">
        <is>
          <t>P</t>
        </is>
      </c>
      <c r="N30" s="89" t="inlineStr">
        <is>
          <t>P</t>
        </is>
      </c>
      <c r="O30" s="89" t="inlineStr">
        <is>
          <t>P</t>
        </is>
      </c>
      <c r="P30" s="89" t="inlineStr">
        <is>
          <t>P</t>
        </is>
      </c>
      <c r="Q30" s="89" t="inlineStr">
        <is>
          <t>P</t>
        </is>
      </c>
      <c r="R30" s="89" t="inlineStr">
        <is>
          <t>P</t>
        </is>
      </c>
      <c r="S30" s="121" t="inlineStr">
        <is>
          <t>UA</t>
        </is>
      </c>
      <c r="T30" s="121" t="inlineStr">
        <is>
          <t>UA</t>
        </is>
      </c>
      <c r="U30" s="121" t="inlineStr">
        <is>
          <t>UA</t>
        </is>
      </c>
      <c r="V30" s="121" t="inlineStr">
        <is>
          <t>UA</t>
        </is>
      </c>
      <c r="W30" s="121" t="inlineStr">
        <is>
          <t>UA</t>
        </is>
      </c>
      <c r="X30" s="121" t="inlineStr">
        <is>
          <t>UA</t>
        </is>
      </c>
      <c r="Y30" s="121" t="inlineStr">
        <is>
          <t>UA</t>
        </is>
      </c>
      <c r="Z30" s="121" t="inlineStr">
        <is>
          <t>UA</t>
        </is>
      </c>
      <c r="AA30" s="121" t="inlineStr">
        <is>
          <t>UA</t>
        </is>
      </c>
      <c r="AB30" s="121" t="inlineStr">
        <is>
          <t>UA</t>
        </is>
      </c>
      <c r="AC30" s="121" t="inlineStr">
        <is>
          <t>UA</t>
        </is>
      </c>
      <c r="AD30" s="121" t="inlineStr">
        <is>
          <t>UA</t>
        </is>
      </c>
      <c r="AE30" s="121" t="inlineStr">
        <is>
          <t>UA</t>
        </is>
      </c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8">
        <f>IF($A31="","",'Employee Master'!C31)</f>
        <v/>
      </c>
      <c r="D31" s="89" t="inlineStr">
        <is>
          <t>P</t>
        </is>
      </c>
      <c r="E31" s="89" t="inlineStr">
        <is>
          <t>P</t>
        </is>
      </c>
      <c r="F31" s="89" t="inlineStr">
        <is>
          <t>P</t>
        </is>
      </c>
      <c r="G31" s="89" t="inlineStr">
        <is>
          <t>P</t>
        </is>
      </c>
      <c r="H31" s="89" t="inlineStr">
        <is>
          <t>P</t>
        </is>
      </c>
      <c r="I31" s="89" t="inlineStr">
        <is>
          <t>P</t>
        </is>
      </c>
      <c r="J31" s="89" t="inlineStr">
        <is>
          <t>P</t>
        </is>
      </c>
      <c r="K31" s="89" t="inlineStr">
        <is>
          <t>P</t>
        </is>
      </c>
      <c r="L31" s="89" t="inlineStr">
        <is>
          <t>P</t>
        </is>
      </c>
      <c r="M31" s="89" t="inlineStr">
        <is>
          <t>P</t>
        </is>
      </c>
      <c r="N31" s="89" t="inlineStr">
        <is>
          <t>P</t>
        </is>
      </c>
      <c r="O31" s="89" t="inlineStr">
        <is>
          <t>P</t>
        </is>
      </c>
      <c r="P31" s="89" t="inlineStr">
        <is>
          <t>P</t>
        </is>
      </c>
      <c r="Q31" s="89" t="inlineStr">
        <is>
          <t>P</t>
        </is>
      </c>
      <c r="R31" s="89" t="inlineStr">
        <is>
          <t>P</t>
        </is>
      </c>
      <c r="S31" s="89" t="inlineStr">
        <is>
          <t>P</t>
        </is>
      </c>
      <c r="T31" s="89" t="inlineStr">
        <is>
          <t>P</t>
        </is>
      </c>
      <c r="U31" s="89" t="inlineStr">
        <is>
          <t>P</t>
        </is>
      </c>
      <c r="V31" s="89" t="inlineStr">
        <is>
          <t>P</t>
        </is>
      </c>
      <c r="W31" s="89" t="inlineStr">
        <is>
          <t>P</t>
        </is>
      </c>
      <c r="X31" s="89" t="inlineStr">
        <is>
          <t>P</t>
        </is>
      </c>
      <c r="Y31" s="89" t="inlineStr">
        <is>
          <t>P</t>
        </is>
      </c>
      <c r="Z31" s="89" t="inlineStr">
        <is>
          <t>P</t>
        </is>
      </c>
      <c r="AA31" s="89" t="inlineStr">
        <is>
          <t>P</t>
        </is>
      </c>
      <c r="AB31" s="89" t="inlineStr">
        <is>
          <t>P</t>
        </is>
      </c>
      <c r="AC31" s="89" t="inlineStr">
        <is>
          <t>P</t>
        </is>
      </c>
      <c r="AD31" s="89" t="inlineStr">
        <is>
          <t>P</t>
        </is>
      </c>
      <c r="AE31" s="89" t="inlineStr">
        <is>
          <t>P</t>
        </is>
      </c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8">
        <f>IF($A32="","",'Employee Master'!C32)</f>
        <v/>
      </c>
      <c r="D32" s="89" t="inlineStr">
        <is>
          <t>P</t>
        </is>
      </c>
      <c r="E32" s="89" t="inlineStr">
        <is>
          <t>P</t>
        </is>
      </c>
      <c r="F32" s="89" t="inlineStr">
        <is>
          <t>P</t>
        </is>
      </c>
      <c r="G32" s="89" t="inlineStr">
        <is>
          <t>P</t>
        </is>
      </c>
      <c r="H32" s="89" t="inlineStr">
        <is>
          <t>P</t>
        </is>
      </c>
      <c r="I32" s="89" t="inlineStr">
        <is>
          <t>P</t>
        </is>
      </c>
      <c r="J32" s="89" t="inlineStr">
        <is>
          <t>P</t>
        </is>
      </c>
      <c r="K32" s="89" t="inlineStr">
        <is>
          <t>P</t>
        </is>
      </c>
      <c r="L32" s="89" t="inlineStr">
        <is>
          <t>P</t>
        </is>
      </c>
      <c r="M32" s="89" t="inlineStr">
        <is>
          <t>P</t>
        </is>
      </c>
      <c r="N32" s="89" t="inlineStr">
        <is>
          <t>P</t>
        </is>
      </c>
      <c r="O32" s="89" t="inlineStr">
        <is>
          <t>P</t>
        </is>
      </c>
      <c r="P32" s="121" t="inlineStr">
        <is>
          <t>UA</t>
        </is>
      </c>
      <c r="Q32" s="89" t="inlineStr">
        <is>
          <t>P</t>
        </is>
      </c>
      <c r="R32" s="89" t="inlineStr">
        <is>
          <t>P</t>
        </is>
      </c>
      <c r="S32" s="89" t="inlineStr">
        <is>
          <t>P</t>
        </is>
      </c>
      <c r="T32" s="89" t="inlineStr">
        <is>
          <t>P</t>
        </is>
      </c>
      <c r="U32" s="89" t="inlineStr">
        <is>
          <t>P</t>
        </is>
      </c>
      <c r="V32" s="89" t="inlineStr">
        <is>
          <t>P</t>
        </is>
      </c>
      <c r="W32" s="89" t="inlineStr">
        <is>
          <t>P</t>
        </is>
      </c>
      <c r="X32" s="89" t="inlineStr">
        <is>
          <t>P</t>
        </is>
      </c>
      <c r="Y32" s="89" t="inlineStr">
        <is>
          <t>P</t>
        </is>
      </c>
      <c r="Z32" s="89" t="inlineStr">
        <is>
          <t>P</t>
        </is>
      </c>
      <c r="AA32" s="89" t="inlineStr">
        <is>
          <t>P</t>
        </is>
      </c>
      <c r="AB32" s="89" t="inlineStr">
        <is>
          <t>P</t>
        </is>
      </c>
      <c r="AC32" s="89" t="inlineStr">
        <is>
          <t>P</t>
        </is>
      </c>
      <c r="AD32" s="121" t="inlineStr">
        <is>
          <t>UA</t>
        </is>
      </c>
      <c r="AE32" s="121" t="inlineStr">
        <is>
          <t>UA</t>
        </is>
      </c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8">
        <f>IF($A33="","",'Employee Master'!C33)</f>
        <v/>
      </c>
      <c r="D33" s="89" t="inlineStr">
        <is>
          <t>P</t>
        </is>
      </c>
      <c r="E33" s="89" t="inlineStr">
        <is>
          <t>P</t>
        </is>
      </c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  <c r="K33" s="89" t="inlineStr">
        <is>
          <t>P</t>
        </is>
      </c>
      <c r="L33" s="89" t="inlineStr">
        <is>
          <t>P</t>
        </is>
      </c>
      <c r="M33" s="89" t="inlineStr">
        <is>
          <t>P</t>
        </is>
      </c>
      <c r="N33" s="89" t="inlineStr">
        <is>
          <t>P</t>
        </is>
      </c>
      <c r="O33" s="89" t="inlineStr">
        <is>
          <t>P</t>
        </is>
      </c>
      <c r="P33" s="89" t="inlineStr">
        <is>
          <t>P</t>
        </is>
      </c>
      <c r="Q33" s="89" t="inlineStr">
        <is>
          <t>P</t>
        </is>
      </c>
      <c r="R33" s="89" t="inlineStr">
        <is>
          <t>P</t>
        </is>
      </c>
      <c r="S33" s="89" t="inlineStr">
        <is>
          <t>P</t>
        </is>
      </c>
      <c r="T33" s="89" t="inlineStr">
        <is>
          <t>P</t>
        </is>
      </c>
      <c r="U33" s="89" t="inlineStr">
        <is>
          <t>P</t>
        </is>
      </c>
      <c r="V33" s="89" t="inlineStr">
        <is>
          <t>P</t>
        </is>
      </c>
      <c r="W33" s="89" t="inlineStr">
        <is>
          <t>P</t>
        </is>
      </c>
      <c r="X33" s="89" t="inlineStr">
        <is>
          <t>P</t>
        </is>
      </c>
      <c r="Y33" s="89" t="inlineStr">
        <is>
          <t>P</t>
        </is>
      </c>
      <c r="Z33" s="89" t="inlineStr">
        <is>
          <t>P</t>
        </is>
      </c>
      <c r="AA33" s="89" t="inlineStr">
        <is>
          <t>P</t>
        </is>
      </c>
      <c r="AB33" s="89" t="inlineStr">
        <is>
          <t>P</t>
        </is>
      </c>
      <c r="AC33" s="89" t="inlineStr">
        <is>
          <t>P</t>
        </is>
      </c>
      <c r="AD33" s="89" t="inlineStr">
        <is>
          <t>P</t>
        </is>
      </c>
      <c r="AE33" s="89" t="inlineStr">
        <is>
          <t>P</t>
        </is>
      </c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8">
        <f>IF($A34="","",'Employee Master'!C34)</f>
        <v/>
      </c>
      <c r="D34" s="89" t="inlineStr">
        <is>
          <t>AA</t>
        </is>
      </c>
      <c r="E34" s="89" t="inlineStr">
        <is>
          <t>AA</t>
        </is>
      </c>
      <c r="F34" s="89" t="inlineStr">
        <is>
          <t>AA</t>
        </is>
      </c>
      <c r="G34" s="89" t="inlineStr">
        <is>
          <t>AA</t>
        </is>
      </c>
      <c r="H34" s="89" t="inlineStr">
        <is>
          <t>AA</t>
        </is>
      </c>
      <c r="I34" s="89" t="inlineStr">
        <is>
          <t>AA</t>
        </is>
      </c>
      <c r="J34" s="89" t="inlineStr">
        <is>
          <t>AA</t>
        </is>
      </c>
      <c r="K34" s="89" t="inlineStr">
        <is>
          <t>AA</t>
        </is>
      </c>
      <c r="L34" s="89" t="inlineStr">
        <is>
          <t>AA</t>
        </is>
      </c>
      <c r="M34" s="89" t="inlineStr">
        <is>
          <t>AA</t>
        </is>
      </c>
      <c r="N34" s="89" t="inlineStr">
        <is>
          <t>AA</t>
        </is>
      </c>
      <c r="O34" s="89" t="inlineStr">
        <is>
          <t>AA</t>
        </is>
      </c>
      <c r="P34" s="89" t="inlineStr">
        <is>
          <t>AA</t>
        </is>
      </c>
      <c r="Q34" s="89" t="inlineStr">
        <is>
          <t>AA</t>
        </is>
      </c>
      <c r="R34" s="89" t="inlineStr">
        <is>
          <t>AA</t>
        </is>
      </c>
      <c r="S34" s="89" t="inlineStr">
        <is>
          <t>AA</t>
        </is>
      </c>
      <c r="T34" s="89" t="inlineStr">
        <is>
          <t>AA</t>
        </is>
      </c>
      <c r="U34" s="89" t="inlineStr">
        <is>
          <t>AA</t>
        </is>
      </c>
      <c r="V34" s="89" t="inlineStr">
        <is>
          <t>AA</t>
        </is>
      </c>
      <c r="W34" s="89" t="inlineStr">
        <is>
          <t>AA</t>
        </is>
      </c>
      <c r="X34" s="89" t="inlineStr">
        <is>
          <t>AA</t>
        </is>
      </c>
      <c r="Y34" s="89" t="inlineStr">
        <is>
          <t>AA</t>
        </is>
      </c>
      <c r="Z34" s="89" t="inlineStr">
        <is>
          <t>AA</t>
        </is>
      </c>
      <c r="AA34" s="89" t="inlineStr">
        <is>
          <t>AA</t>
        </is>
      </c>
      <c r="AB34" s="89" t="inlineStr">
        <is>
          <t>AA</t>
        </is>
      </c>
      <c r="AC34" s="89" t="inlineStr">
        <is>
          <t>AA</t>
        </is>
      </c>
      <c r="AD34" s="89" t="inlineStr">
        <is>
          <t>AA</t>
        </is>
      </c>
      <c r="AE34" s="89" t="inlineStr">
        <is>
          <t>AA</t>
        </is>
      </c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8">
        <f>IF($A35="","",'Employee Master'!C35)</f>
        <v/>
      </c>
      <c r="D35" s="89" t="inlineStr">
        <is>
          <t>P</t>
        </is>
      </c>
      <c r="E35" s="89" t="inlineStr">
        <is>
          <t>P</t>
        </is>
      </c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  <c r="M35" s="89" t="inlineStr">
        <is>
          <t>P</t>
        </is>
      </c>
      <c r="N35" s="89" t="inlineStr">
        <is>
          <t>P</t>
        </is>
      </c>
      <c r="O35" s="89" t="inlineStr">
        <is>
          <t>P</t>
        </is>
      </c>
      <c r="P35" s="89" t="inlineStr">
        <is>
          <t>P</t>
        </is>
      </c>
      <c r="Q35" s="89" t="inlineStr">
        <is>
          <t>P</t>
        </is>
      </c>
      <c r="R35" s="89" t="inlineStr">
        <is>
          <t>P</t>
        </is>
      </c>
      <c r="S35" s="89" t="inlineStr">
        <is>
          <t>P</t>
        </is>
      </c>
      <c r="T35" s="89" t="inlineStr">
        <is>
          <t>P</t>
        </is>
      </c>
      <c r="U35" s="89" t="inlineStr">
        <is>
          <t>P</t>
        </is>
      </c>
      <c r="V35" s="89" t="inlineStr">
        <is>
          <t>P</t>
        </is>
      </c>
      <c r="W35" s="89" t="inlineStr">
        <is>
          <t>P</t>
        </is>
      </c>
      <c r="X35" s="89" t="inlineStr">
        <is>
          <t>P</t>
        </is>
      </c>
      <c r="Y35" s="89" t="inlineStr">
        <is>
          <t>P</t>
        </is>
      </c>
      <c r="Z35" s="89" t="inlineStr">
        <is>
          <t>P</t>
        </is>
      </c>
      <c r="AA35" s="89" t="inlineStr">
        <is>
          <t>P</t>
        </is>
      </c>
      <c r="AB35" s="89" t="inlineStr">
        <is>
          <t>P</t>
        </is>
      </c>
      <c r="AC35" s="89" t="inlineStr">
        <is>
          <t>P</t>
        </is>
      </c>
      <c r="AD35" s="89" t="inlineStr">
        <is>
          <t>P</t>
        </is>
      </c>
      <c r="AE35" s="89" t="inlineStr">
        <is>
          <t>P</t>
        </is>
      </c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8">
        <f>IF($A36="","",'Employee Master'!C36)</f>
        <v/>
      </c>
      <c r="D36" s="89" t="inlineStr">
        <is>
          <t>P</t>
        </is>
      </c>
      <c r="E36" s="89" t="inlineStr">
        <is>
          <t>P</t>
        </is>
      </c>
      <c r="F36" s="89" t="inlineStr">
        <is>
          <t>P</t>
        </is>
      </c>
      <c r="G36" s="89" t="inlineStr">
        <is>
          <t>P</t>
        </is>
      </c>
      <c r="H36" s="89" t="inlineStr">
        <is>
          <t>P</t>
        </is>
      </c>
      <c r="I36" s="89" t="inlineStr">
        <is>
          <t>P</t>
        </is>
      </c>
      <c r="J36" s="89" t="inlineStr">
        <is>
          <t>P</t>
        </is>
      </c>
      <c r="K36" s="89" t="inlineStr">
        <is>
          <t>P</t>
        </is>
      </c>
      <c r="L36" s="89" t="inlineStr">
        <is>
          <t>P</t>
        </is>
      </c>
      <c r="M36" s="89" t="inlineStr">
        <is>
          <t>P</t>
        </is>
      </c>
      <c r="N36" s="89" t="inlineStr">
        <is>
          <t>P</t>
        </is>
      </c>
      <c r="O36" s="89" t="inlineStr">
        <is>
          <t>P</t>
        </is>
      </c>
      <c r="P36" s="89" t="inlineStr">
        <is>
          <t>P</t>
        </is>
      </c>
      <c r="Q36" s="89" t="inlineStr">
        <is>
          <t>P</t>
        </is>
      </c>
      <c r="R36" s="89" t="inlineStr">
        <is>
          <t>P</t>
        </is>
      </c>
      <c r="S36" s="89" t="inlineStr">
        <is>
          <t>P</t>
        </is>
      </c>
      <c r="T36" s="89" t="inlineStr">
        <is>
          <t>P</t>
        </is>
      </c>
      <c r="U36" s="89" t="inlineStr">
        <is>
          <t>P</t>
        </is>
      </c>
      <c r="V36" s="89" t="inlineStr">
        <is>
          <t>P</t>
        </is>
      </c>
      <c r="W36" s="89" t="inlineStr">
        <is>
          <t>P</t>
        </is>
      </c>
      <c r="X36" s="89" t="inlineStr">
        <is>
          <t>P</t>
        </is>
      </c>
      <c r="Y36" s="89" t="inlineStr">
        <is>
          <t>P</t>
        </is>
      </c>
      <c r="Z36" s="89" t="inlineStr">
        <is>
          <t>P</t>
        </is>
      </c>
      <c r="AA36" s="89" t="inlineStr">
        <is>
          <t>P</t>
        </is>
      </c>
      <c r="AB36" s="89" t="inlineStr">
        <is>
          <t>P</t>
        </is>
      </c>
      <c r="AC36" s="89" t="inlineStr">
        <is>
          <t>P</t>
        </is>
      </c>
      <c r="AD36" s="89" t="inlineStr">
        <is>
          <t>P</t>
        </is>
      </c>
      <c r="AE36" s="89" t="inlineStr">
        <is>
          <t>P</t>
        </is>
      </c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8">
        <f>IF($A37="","",'Employee Master'!C37)</f>
        <v/>
      </c>
      <c r="D37" s="89" t="inlineStr">
        <is>
          <t>P</t>
        </is>
      </c>
      <c r="E37" s="89" t="inlineStr">
        <is>
          <t>P</t>
        </is>
      </c>
      <c r="F37" s="89" t="inlineStr">
        <is>
          <t>P</t>
        </is>
      </c>
      <c r="G37" s="89" t="inlineStr">
        <is>
          <t>P</t>
        </is>
      </c>
      <c r="H37" s="89" t="inlineStr">
        <is>
          <t>P</t>
        </is>
      </c>
      <c r="I37" s="89" t="inlineStr">
        <is>
          <t>P</t>
        </is>
      </c>
      <c r="J37" s="89" t="inlineStr">
        <is>
          <t>P</t>
        </is>
      </c>
      <c r="K37" s="89" t="inlineStr">
        <is>
          <t>P</t>
        </is>
      </c>
      <c r="L37" s="89" t="inlineStr">
        <is>
          <t>P</t>
        </is>
      </c>
      <c r="M37" s="89" t="inlineStr">
        <is>
          <t>P</t>
        </is>
      </c>
      <c r="N37" s="89" t="inlineStr">
        <is>
          <t>P</t>
        </is>
      </c>
      <c r="O37" s="89" t="inlineStr">
        <is>
          <t>P</t>
        </is>
      </c>
      <c r="P37" s="89" t="inlineStr">
        <is>
          <t>P</t>
        </is>
      </c>
      <c r="Q37" s="89" t="inlineStr">
        <is>
          <t>P</t>
        </is>
      </c>
      <c r="R37" s="89" t="inlineStr">
        <is>
          <t>P</t>
        </is>
      </c>
      <c r="S37" s="89" t="inlineStr">
        <is>
          <t>P</t>
        </is>
      </c>
      <c r="T37" s="89" t="inlineStr">
        <is>
          <t>P</t>
        </is>
      </c>
      <c r="U37" s="89" t="inlineStr">
        <is>
          <t>P</t>
        </is>
      </c>
      <c r="V37" s="89" t="inlineStr">
        <is>
          <t>P</t>
        </is>
      </c>
      <c r="W37" s="89" t="inlineStr">
        <is>
          <t>P</t>
        </is>
      </c>
      <c r="X37" s="89" t="inlineStr">
        <is>
          <t>P</t>
        </is>
      </c>
      <c r="Y37" s="89" t="inlineStr">
        <is>
          <t>P</t>
        </is>
      </c>
      <c r="Z37" s="89" t="inlineStr">
        <is>
          <t>P</t>
        </is>
      </c>
      <c r="AA37" s="89" t="inlineStr">
        <is>
          <t>P</t>
        </is>
      </c>
      <c r="AB37" s="89" t="inlineStr">
        <is>
          <t>P</t>
        </is>
      </c>
      <c r="AC37" s="89" t="inlineStr">
        <is>
          <t>P</t>
        </is>
      </c>
      <c r="AD37" s="89" t="inlineStr">
        <is>
          <t>P</t>
        </is>
      </c>
      <c r="AE37" s="89" t="inlineStr">
        <is>
          <t>P</t>
        </is>
      </c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8">
        <f>IF($A38="","",'Employee Master'!C38)</f>
        <v/>
      </c>
      <c r="D38" s="89" t="inlineStr">
        <is>
          <t>P</t>
        </is>
      </c>
      <c r="E38" s="89" t="inlineStr">
        <is>
          <t>P</t>
        </is>
      </c>
      <c r="F38" s="89" t="inlineStr">
        <is>
          <t>P</t>
        </is>
      </c>
      <c r="G38" s="89" t="inlineStr">
        <is>
          <t>P</t>
        </is>
      </c>
      <c r="H38" s="89" t="inlineStr">
        <is>
          <t>P</t>
        </is>
      </c>
      <c r="I38" s="89" t="inlineStr">
        <is>
          <t>P</t>
        </is>
      </c>
      <c r="J38" s="89" t="inlineStr">
        <is>
          <t>P</t>
        </is>
      </c>
      <c r="K38" s="89" t="inlineStr">
        <is>
          <t>P</t>
        </is>
      </c>
      <c r="L38" s="89" t="inlineStr">
        <is>
          <t>P</t>
        </is>
      </c>
      <c r="M38" s="89" t="inlineStr">
        <is>
          <t>P</t>
        </is>
      </c>
      <c r="N38" s="89" t="inlineStr">
        <is>
          <t>P</t>
        </is>
      </c>
      <c r="O38" s="89" t="inlineStr">
        <is>
          <t>P</t>
        </is>
      </c>
      <c r="P38" s="89" t="inlineStr">
        <is>
          <t>P</t>
        </is>
      </c>
      <c r="Q38" s="89" t="inlineStr">
        <is>
          <t>P</t>
        </is>
      </c>
      <c r="R38" s="89" t="inlineStr">
        <is>
          <t>P</t>
        </is>
      </c>
      <c r="S38" s="89" t="inlineStr">
        <is>
          <t>P</t>
        </is>
      </c>
      <c r="T38" s="89" t="inlineStr">
        <is>
          <t>P</t>
        </is>
      </c>
      <c r="U38" s="89" t="inlineStr">
        <is>
          <t>P</t>
        </is>
      </c>
      <c r="V38" s="89" t="inlineStr">
        <is>
          <t>P</t>
        </is>
      </c>
      <c r="W38" s="89" t="inlineStr">
        <is>
          <t>P</t>
        </is>
      </c>
      <c r="X38" s="89" t="inlineStr">
        <is>
          <t>P</t>
        </is>
      </c>
      <c r="Y38" s="89" t="inlineStr">
        <is>
          <t>P</t>
        </is>
      </c>
      <c r="Z38" s="89" t="inlineStr">
        <is>
          <t>P</t>
        </is>
      </c>
      <c r="AA38" s="89" t="inlineStr">
        <is>
          <t>P</t>
        </is>
      </c>
      <c r="AB38" s="89" t="inlineStr">
        <is>
          <t>P</t>
        </is>
      </c>
      <c r="AC38" s="89" t="inlineStr">
        <is>
          <t>P</t>
        </is>
      </c>
      <c r="AD38" s="89" t="inlineStr">
        <is>
          <t>P</t>
        </is>
      </c>
      <c r="AE38" s="89" t="inlineStr">
        <is>
          <t>P</t>
        </is>
      </c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8">
        <f>IF($A39="","",'Employee Master'!C39)</f>
        <v/>
      </c>
      <c r="D39" s="89" t="inlineStr">
        <is>
          <t>P</t>
        </is>
      </c>
      <c r="E39" s="89" t="inlineStr">
        <is>
          <t>P</t>
        </is>
      </c>
      <c r="F39" s="89" t="inlineStr">
        <is>
          <t>P</t>
        </is>
      </c>
      <c r="G39" s="121" t="inlineStr">
        <is>
          <t>UA</t>
        </is>
      </c>
      <c r="H39" s="121" t="inlineStr">
        <is>
          <t>UA</t>
        </is>
      </c>
      <c r="I39" s="121" t="inlineStr">
        <is>
          <t>UA</t>
        </is>
      </c>
      <c r="J39" s="121" t="inlineStr">
        <is>
          <t>UA</t>
        </is>
      </c>
      <c r="K39" s="121" t="inlineStr">
        <is>
          <t>UA</t>
        </is>
      </c>
      <c r="L39" s="121" t="inlineStr">
        <is>
          <t>UA</t>
        </is>
      </c>
      <c r="M39" s="121" t="inlineStr">
        <is>
          <t>UA</t>
        </is>
      </c>
      <c r="N39" s="121" t="inlineStr">
        <is>
          <t>UA</t>
        </is>
      </c>
      <c r="O39" s="121" t="inlineStr">
        <is>
          <t>UA</t>
        </is>
      </c>
      <c r="P39" s="121" t="inlineStr">
        <is>
          <t>UA</t>
        </is>
      </c>
      <c r="Q39" s="121" t="inlineStr">
        <is>
          <t>UA</t>
        </is>
      </c>
      <c r="R39" s="121" t="inlineStr">
        <is>
          <t>UA</t>
        </is>
      </c>
      <c r="S39" s="121" t="inlineStr">
        <is>
          <t>UA</t>
        </is>
      </c>
      <c r="T39" s="121" t="inlineStr">
        <is>
          <t>UA</t>
        </is>
      </c>
      <c r="U39" s="121" t="inlineStr">
        <is>
          <t>UA</t>
        </is>
      </c>
      <c r="V39" s="121" t="inlineStr">
        <is>
          <t>UA</t>
        </is>
      </c>
      <c r="W39" s="121" t="inlineStr">
        <is>
          <t>UA</t>
        </is>
      </c>
      <c r="X39" s="121" t="inlineStr">
        <is>
          <t>UA</t>
        </is>
      </c>
      <c r="Y39" s="121" t="inlineStr">
        <is>
          <t>UA</t>
        </is>
      </c>
      <c r="Z39" s="121" t="inlineStr">
        <is>
          <t>UA</t>
        </is>
      </c>
      <c r="AA39" s="89" t="inlineStr">
        <is>
          <t>P</t>
        </is>
      </c>
      <c r="AB39" s="89" t="inlineStr">
        <is>
          <t>P</t>
        </is>
      </c>
      <c r="AC39" s="89" t="inlineStr">
        <is>
          <t>P</t>
        </is>
      </c>
      <c r="AD39" s="89" t="inlineStr">
        <is>
          <t>P</t>
        </is>
      </c>
      <c r="AE39" s="89" t="inlineStr">
        <is>
          <t>P</t>
        </is>
      </c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8">
        <f>IF($A40="","",'Employee Master'!C40)</f>
        <v/>
      </c>
      <c r="D40" s="89" t="inlineStr">
        <is>
          <t>P</t>
        </is>
      </c>
      <c r="E40" s="89" t="inlineStr">
        <is>
          <t>P</t>
        </is>
      </c>
      <c r="F40" s="89" t="inlineStr">
        <is>
          <t>P</t>
        </is>
      </c>
      <c r="G40" s="89" t="inlineStr">
        <is>
          <t>P</t>
        </is>
      </c>
      <c r="H40" s="89" t="inlineStr">
        <is>
          <t>P</t>
        </is>
      </c>
      <c r="I40" s="89" t="inlineStr">
        <is>
          <t>P</t>
        </is>
      </c>
      <c r="J40" s="121" t="inlineStr">
        <is>
          <t>UA</t>
        </is>
      </c>
      <c r="K40" s="121" t="inlineStr">
        <is>
          <t>UA</t>
        </is>
      </c>
      <c r="L40" s="121" t="inlineStr">
        <is>
          <t>UA</t>
        </is>
      </c>
      <c r="M40" s="121" t="inlineStr">
        <is>
          <t>UA</t>
        </is>
      </c>
      <c r="N40" s="121" t="inlineStr">
        <is>
          <t>UA</t>
        </is>
      </c>
      <c r="O40" s="121" t="inlineStr">
        <is>
          <t>UA</t>
        </is>
      </c>
      <c r="P40" s="121" t="inlineStr">
        <is>
          <t>UA</t>
        </is>
      </c>
      <c r="Q40" s="121" t="inlineStr">
        <is>
          <t>UA</t>
        </is>
      </c>
      <c r="R40" s="121" t="inlineStr">
        <is>
          <t>UA</t>
        </is>
      </c>
      <c r="S40" s="121" t="inlineStr">
        <is>
          <t>UA</t>
        </is>
      </c>
      <c r="T40" s="121" t="inlineStr">
        <is>
          <t>UA</t>
        </is>
      </c>
      <c r="U40" s="121" t="inlineStr">
        <is>
          <t>UA</t>
        </is>
      </c>
      <c r="V40" s="121" t="inlineStr">
        <is>
          <t>UA</t>
        </is>
      </c>
      <c r="W40" s="121" t="inlineStr">
        <is>
          <t>UA</t>
        </is>
      </c>
      <c r="X40" s="121" t="inlineStr">
        <is>
          <t>UA</t>
        </is>
      </c>
      <c r="Y40" s="121" t="inlineStr">
        <is>
          <t>UA</t>
        </is>
      </c>
      <c r="Z40" s="121" t="inlineStr">
        <is>
          <t>UA</t>
        </is>
      </c>
      <c r="AA40" s="121" t="inlineStr">
        <is>
          <t>UA</t>
        </is>
      </c>
      <c r="AB40" s="121" t="inlineStr">
        <is>
          <t>UA</t>
        </is>
      </c>
      <c r="AC40" s="121" t="inlineStr">
        <is>
          <t>UA</t>
        </is>
      </c>
      <c r="AD40" s="121" t="inlineStr">
        <is>
          <t>UA</t>
        </is>
      </c>
      <c r="AE40" s="121" t="inlineStr">
        <is>
          <t>UA</t>
        </is>
      </c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8">
        <f>IF($A41="","",'Employee Master'!C41)</f>
        <v/>
      </c>
      <c r="D41" s="121" t="inlineStr">
        <is>
          <t>UA</t>
        </is>
      </c>
      <c r="E41" s="121" t="inlineStr">
        <is>
          <t>UA</t>
        </is>
      </c>
      <c r="F41" s="121" t="inlineStr">
        <is>
          <t>UA</t>
        </is>
      </c>
      <c r="G41" s="121" t="inlineStr">
        <is>
          <t>UA</t>
        </is>
      </c>
      <c r="H41" s="121" t="inlineStr">
        <is>
          <t>UA</t>
        </is>
      </c>
      <c r="I41" s="121" t="inlineStr">
        <is>
          <t>UA</t>
        </is>
      </c>
      <c r="J41" s="121" t="inlineStr">
        <is>
          <t>UA</t>
        </is>
      </c>
      <c r="K41" s="121" t="inlineStr">
        <is>
          <t>UA</t>
        </is>
      </c>
      <c r="L41" s="121" t="inlineStr">
        <is>
          <t>UA</t>
        </is>
      </c>
      <c r="M41" s="121" t="inlineStr">
        <is>
          <t>UA</t>
        </is>
      </c>
      <c r="N41" s="121" t="inlineStr">
        <is>
          <t>UA</t>
        </is>
      </c>
      <c r="O41" s="121" t="inlineStr">
        <is>
          <t>UA</t>
        </is>
      </c>
      <c r="P41" s="121" t="inlineStr">
        <is>
          <t>UA</t>
        </is>
      </c>
      <c r="Q41" s="121" t="inlineStr">
        <is>
          <t>UA</t>
        </is>
      </c>
      <c r="R41" s="121" t="inlineStr">
        <is>
          <t>UA</t>
        </is>
      </c>
      <c r="S41" s="121" t="inlineStr">
        <is>
          <t>UA</t>
        </is>
      </c>
      <c r="T41" s="121" t="inlineStr">
        <is>
          <t>UA</t>
        </is>
      </c>
      <c r="U41" s="121" t="inlineStr">
        <is>
          <t>UA</t>
        </is>
      </c>
      <c r="V41" s="121" t="inlineStr">
        <is>
          <t>UA</t>
        </is>
      </c>
      <c r="W41" s="121" t="inlineStr">
        <is>
          <t>UA</t>
        </is>
      </c>
      <c r="X41" s="121" t="inlineStr">
        <is>
          <t>UA</t>
        </is>
      </c>
      <c r="Y41" s="121" t="inlineStr">
        <is>
          <t>UA</t>
        </is>
      </c>
      <c r="Z41" s="121" t="inlineStr">
        <is>
          <t>UA</t>
        </is>
      </c>
      <c r="AA41" s="121" t="inlineStr">
        <is>
          <t>UA</t>
        </is>
      </c>
      <c r="AB41" s="89" t="inlineStr">
        <is>
          <t>P</t>
        </is>
      </c>
      <c r="AC41" s="89" t="inlineStr">
        <is>
          <t>P</t>
        </is>
      </c>
      <c r="AD41" s="89" t="inlineStr">
        <is>
          <t>P</t>
        </is>
      </c>
      <c r="AE41" s="89" t="inlineStr">
        <is>
          <t>P</t>
        </is>
      </c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8">
        <f>IF($A42="","",'Employee Master'!C42)</f>
        <v/>
      </c>
      <c r="D42" s="89" t="inlineStr">
        <is>
          <t>P</t>
        </is>
      </c>
      <c r="E42" s="89" t="inlineStr">
        <is>
          <t>P</t>
        </is>
      </c>
      <c r="F42" s="89" t="inlineStr">
        <is>
          <t>P</t>
        </is>
      </c>
      <c r="G42" s="89" t="inlineStr">
        <is>
          <t>P</t>
        </is>
      </c>
      <c r="H42" s="89" t="inlineStr">
        <is>
          <t>P</t>
        </is>
      </c>
      <c r="I42" s="89" t="inlineStr">
        <is>
          <t>P</t>
        </is>
      </c>
      <c r="J42" s="89" t="inlineStr">
        <is>
          <t>P</t>
        </is>
      </c>
      <c r="K42" s="89" t="inlineStr">
        <is>
          <t>P</t>
        </is>
      </c>
      <c r="L42" s="89" t="inlineStr">
        <is>
          <t>P</t>
        </is>
      </c>
      <c r="M42" s="89" t="inlineStr">
        <is>
          <t>P</t>
        </is>
      </c>
      <c r="N42" s="89" t="inlineStr">
        <is>
          <t>P</t>
        </is>
      </c>
      <c r="O42" s="89" t="inlineStr">
        <is>
          <t>P</t>
        </is>
      </c>
      <c r="P42" s="89" t="inlineStr">
        <is>
          <t>P</t>
        </is>
      </c>
      <c r="Q42" s="89" t="inlineStr">
        <is>
          <t>P</t>
        </is>
      </c>
      <c r="R42" s="89" t="inlineStr">
        <is>
          <t>P</t>
        </is>
      </c>
      <c r="S42" s="89" t="inlineStr">
        <is>
          <t>P</t>
        </is>
      </c>
      <c r="T42" s="89" t="inlineStr">
        <is>
          <t>P</t>
        </is>
      </c>
      <c r="U42" s="89" t="inlineStr">
        <is>
          <t>P</t>
        </is>
      </c>
      <c r="V42" s="89" t="inlineStr">
        <is>
          <t>P</t>
        </is>
      </c>
      <c r="W42" s="89" t="inlineStr">
        <is>
          <t>P</t>
        </is>
      </c>
      <c r="X42" s="89" t="inlineStr">
        <is>
          <t>P</t>
        </is>
      </c>
      <c r="Y42" s="89" t="inlineStr">
        <is>
          <t>P</t>
        </is>
      </c>
      <c r="Z42" s="89" t="inlineStr">
        <is>
          <t>P</t>
        </is>
      </c>
      <c r="AA42" s="89" t="inlineStr">
        <is>
          <t>P</t>
        </is>
      </c>
      <c r="AB42" s="89" t="inlineStr">
        <is>
          <t>P</t>
        </is>
      </c>
      <c r="AC42" s="89" t="inlineStr">
        <is>
          <t>P</t>
        </is>
      </c>
      <c r="AD42" s="89" t="inlineStr">
        <is>
          <t>P</t>
        </is>
      </c>
      <c r="AE42" s="89" t="inlineStr">
        <is>
          <t>P</t>
        </is>
      </c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8">
        <f>IF($A43="","",'Employee Master'!C43)</f>
        <v/>
      </c>
      <c r="D43" s="89" t="inlineStr">
        <is>
          <t>P</t>
        </is>
      </c>
      <c r="E43" s="89" t="inlineStr">
        <is>
          <t>P</t>
        </is>
      </c>
      <c r="F43" s="89" t="inlineStr">
        <is>
          <t>P</t>
        </is>
      </c>
      <c r="G43" s="89" t="inlineStr">
        <is>
          <t>P</t>
        </is>
      </c>
      <c r="H43" s="89" t="inlineStr">
        <is>
          <t>P</t>
        </is>
      </c>
      <c r="I43" s="89" t="inlineStr">
        <is>
          <t>P</t>
        </is>
      </c>
      <c r="J43" s="89" t="inlineStr">
        <is>
          <t>P</t>
        </is>
      </c>
      <c r="K43" s="89" t="inlineStr">
        <is>
          <t>P</t>
        </is>
      </c>
      <c r="L43" s="89" t="inlineStr">
        <is>
          <t>P</t>
        </is>
      </c>
      <c r="M43" s="89" t="inlineStr">
        <is>
          <t>P</t>
        </is>
      </c>
      <c r="N43" s="89" t="inlineStr">
        <is>
          <t>P</t>
        </is>
      </c>
      <c r="O43" s="89" t="inlineStr">
        <is>
          <t>P</t>
        </is>
      </c>
      <c r="P43" s="89" t="inlineStr">
        <is>
          <t>P</t>
        </is>
      </c>
      <c r="Q43" s="89" t="inlineStr">
        <is>
          <t>P</t>
        </is>
      </c>
      <c r="R43" s="89" t="inlineStr">
        <is>
          <t>P</t>
        </is>
      </c>
      <c r="S43" s="89" t="inlineStr">
        <is>
          <t>P</t>
        </is>
      </c>
      <c r="T43" s="89" t="inlineStr">
        <is>
          <t>P</t>
        </is>
      </c>
      <c r="U43" s="89" t="inlineStr">
        <is>
          <t>P</t>
        </is>
      </c>
      <c r="V43" s="89" t="inlineStr">
        <is>
          <t>P</t>
        </is>
      </c>
      <c r="W43" s="89" t="inlineStr">
        <is>
          <t>P</t>
        </is>
      </c>
      <c r="X43" s="89" t="inlineStr">
        <is>
          <t>P</t>
        </is>
      </c>
      <c r="Y43" s="89" t="inlineStr">
        <is>
          <t>P</t>
        </is>
      </c>
      <c r="Z43" s="89" t="inlineStr">
        <is>
          <t>P</t>
        </is>
      </c>
      <c r="AA43" s="89" t="inlineStr">
        <is>
          <t>P</t>
        </is>
      </c>
      <c r="AB43" s="89" t="inlineStr">
        <is>
          <t>P</t>
        </is>
      </c>
      <c r="AC43" s="89" t="inlineStr">
        <is>
          <t>P</t>
        </is>
      </c>
      <c r="AD43" s="89" t="inlineStr">
        <is>
          <t>P</t>
        </is>
      </c>
      <c r="AE43" s="89" t="inlineStr">
        <is>
          <t>P</t>
        </is>
      </c>
      <c r="AF43" s="89" t="n"/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8">
        <f>IF($A44="","",'Employee Master'!C44)</f>
        <v/>
      </c>
      <c r="D44" s="89" t="inlineStr">
        <is>
          <t>P</t>
        </is>
      </c>
      <c r="E44" s="89" t="inlineStr">
        <is>
          <t>P</t>
        </is>
      </c>
      <c r="F44" s="89" t="inlineStr">
        <is>
          <t>P</t>
        </is>
      </c>
      <c r="G44" s="89" t="inlineStr">
        <is>
          <t>P</t>
        </is>
      </c>
      <c r="H44" s="89" t="inlineStr">
        <is>
          <t>P</t>
        </is>
      </c>
      <c r="I44" s="89" t="inlineStr">
        <is>
          <t>P</t>
        </is>
      </c>
      <c r="J44" s="89" t="inlineStr">
        <is>
          <t>P</t>
        </is>
      </c>
      <c r="K44" s="89" t="inlineStr">
        <is>
          <t>P</t>
        </is>
      </c>
      <c r="L44" s="89" t="inlineStr">
        <is>
          <t>P</t>
        </is>
      </c>
      <c r="M44" s="89" t="inlineStr">
        <is>
          <t>P</t>
        </is>
      </c>
      <c r="N44" s="89" t="inlineStr">
        <is>
          <t>P</t>
        </is>
      </c>
      <c r="O44" s="89" t="inlineStr">
        <is>
          <t>P</t>
        </is>
      </c>
      <c r="P44" s="89" t="inlineStr">
        <is>
          <t>P</t>
        </is>
      </c>
      <c r="Q44" s="89" t="inlineStr">
        <is>
          <t>P</t>
        </is>
      </c>
      <c r="R44" s="89" t="inlineStr">
        <is>
          <t>P</t>
        </is>
      </c>
      <c r="S44" s="89" t="inlineStr">
        <is>
          <t>P</t>
        </is>
      </c>
      <c r="T44" s="89" t="inlineStr">
        <is>
          <t>P</t>
        </is>
      </c>
      <c r="U44" s="89" t="inlineStr">
        <is>
          <t>P</t>
        </is>
      </c>
      <c r="V44" s="89" t="inlineStr">
        <is>
          <t>P</t>
        </is>
      </c>
      <c r="W44" s="89" t="inlineStr">
        <is>
          <t>P</t>
        </is>
      </c>
      <c r="X44" s="89" t="inlineStr">
        <is>
          <t>P</t>
        </is>
      </c>
      <c r="Y44" s="89" t="inlineStr">
        <is>
          <t>P</t>
        </is>
      </c>
      <c r="Z44" s="89" t="inlineStr">
        <is>
          <t>P</t>
        </is>
      </c>
      <c r="AA44" s="89" t="inlineStr">
        <is>
          <t>P</t>
        </is>
      </c>
      <c r="AB44" s="89" t="inlineStr">
        <is>
          <t>P</t>
        </is>
      </c>
      <c r="AC44" s="89" t="inlineStr">
        <is>
          <t>P</t>
        </is>
      </c>
      <c r="AD44" s="89" t="inlineStr">
        <is>
          <t>P</t>
        </is>
      </c>
      <c r="AE44" s="89" t="inlineStr">
        <is>
          <t>P</t>
        </is>
      </c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8">
        <f>IF($A45="","",'Employee Master'!C45)</f>
        <v/>
      </c>
      <c r="D45" s="89" t="inlineStr">
        <is>
          <t>P</t>
        </is>
      </c>
      <c r="E45" s="89" t="inlineStr">
        <is>
          <t>P</t>
        </is>
      </c>
      <c r="F45" s="89" t="inlineStr">
        <is>
          <t>P</t>
        </is>
      </c>
      <c r="G45" s="89" t="inlineStr">
        <is>
          <t>P</t>
        </is>
      </c>
      <c r="H45" s="89" t="inlineStr">
        <is>
          <t>P</t>
        </is>
      </c>
      <c r="I45" s="89" t="inlineStr">
        <is>
          <t>P</t>
        </is>
      </c>
      <c r="J45" s="89" t="inlineStr">
        <is>
          <t>P</t>
        </is>
      </c>
      <c r="K45" s="89" t="inlineStr">
        <is>
          <t>P</t>
        </is>
      </c>
      <c r="L45" s="89" t="inlineStr">
        <is>
          <t>P</t>
        </is>
      </c>
      <c r="M45" s="89" t="inlineStr">
        <is>
          <t>P</t>
        </is>
      </c>
      <c r="N45" s="89" t="inlineStr">
        <is>
          <t>P</t>
        </is>
      </c>
      <c r="O45" s="89" t="inlineStr">
        <is>
          <t>P</t>
        </is>
      </c>
      <c r="P45" s="89" t="inlineStr">
        <is>
          <t>P</t>
        </is>
      </c>
      <c r="Q45" s="89" t="inlineStr">
        <is>
          <t>P</t>
        </is>
      </c>
      <c r="R45" s="89" t="inlineStr">
        <is>
          <t>P</t>
        </is>
      </c>
      <c r="S45" s="89" t="inlineStr">
        <is>
          <t>P</t>
        </is>
      </c>
      <c r="T45" s="89" t="inlineStr">
        <is>
          <t>P</t>
        </is>
      </c>
      <c r="U45" s="89" t="inlineStr">
        <is>
          <t>P</t>
        </is>
      </c>
      <c r="V45" s="89" t="inlineStr">
        <is>
          <t>P</t>
        </is>
      </c>
      <c r="W45" s="89" t="inlineStr">
        <is>
          <t>P</t>
        </is>
      </c>
      <c r="X45" s="89" t="inlineStr">
        <is>
          <t>P</t>
        </is>
      </c>
      <c r="Y45" s="89" t="inlineStr">
        <is>
          <t>P</t>
        </is>
      </c>
      <c r="Z45" s="89" t="inlineStr">
        <is>
          <t>P</t>
        </is>
      </c>
      <c r="AA45" s="89" t="inlineStr">
        <is>
          <t>P</t>
        </is>
      </c>
      <c r="AB45" s="89" t="inlineStr">
        <is>
          <t>P</t>
        </is>
      </c>
      <c r="AC45" s="89" t="inlineStr">
        <is>
          <t>P</t>
        </is>
      </c>
      <c r="AD45" s="89" t="inlineStr">
        <is>
          <t>P</t>
        </is>
      </c>
      <c r="AE45" s="89" t="inlineStr">
        <is>
          <t>P</t>
        </is>
      </c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8">
        <f>IF($A46="","",'Employee Master'!C46)</f>
        <v/>
      </c>
      <c r="D46" s="89" t="inlineStr">
        <is>
          <t>P</t>
        </is>
      </c>
      <c r="E46" s="89" t="inlineStr">
        <is>
          <t>P</t>
        </is>
      </c>
      <c r="F46" s="89" t="inlineStr">
        <is>
          <t>P</t>
        </is>
      </c>
      <c r="G46" s="89" t="inlineStr">
        <is>
          <t>P</t>
        </is>
      </c>
      <c r="H46" s="89" t="inlineStr">
        <is>
          <t>P</t>
        </is>
      </c>
      <c r="I46" s="89" t="inlineStr">
        <is>
          <t>P</t>
        </is>
      </c>
      <c r="J46" s="89" t="inlineStr">
        <is>
          <t>P</t>
        </is>
      </c>
      <c r="K46" s="89" t="inlineStr">
        <is>
          <t>P</t>
        </is>
      </c>
      <c r="L46" s="89" t="inlineStr">
        <is>
          <t>P</t>
        </is>
      </c>
      <c r="M46" s="89" t="inlineStr">
        <is>
          <t>P</t>
        </is>
      </c>
      <c r="N46" s="89" t="inlineStr">
        <is>
          <t>P</t>
        </is>
      </c>
      <c r="O46" s="89" t="inlineStr">
        <is>
          <t>P</t>
        </is>
      </c>
      <c r="P46" s="89" t="inlineStr">
        <is>
          <t>P</t>
        </is>
      </c>
      <c r="Q46" s="89" t="inlineStr">
        <is>
          <t>P</t>
        </is>
      </c>
      <c r="R46" s="89" t="inlineStr">
        <is>
          <t>P</t>
        </is>
      </c>
      <c r="S46" s="89" t="inlineStr">
        <is>
          <t>P</t>
        </is>
      </c>
      <c r="T46" s="89" t="inlineStr">
        <is>
          <t>P</t>
        </is>
      </c>
      <c r="U46" s="89" t="inlineStr">
        <is>
          <t>P</t>
        </is>
      </c>
      <c r="V46" s="89" t="inlineStr">
        <is>
          <t>P</t>
        </is>
      </c>
      <c r="W46" s="89" t="inlineStr">
        <is>
          <t>P</t>
        </is>
      </c>
      <c r="X46" s="89" t="inlineStr">
        <is>
          <t>P</t>
        </is>
      </c>
      <c r="Y46" s="89" t="inlineStr">
        <is>
          <t>P</t>
        </is>
      </c>
      <c r="Z46" s="89" t="inlineStr">
        <is>
          <t>P</t>
        </is>
      </c>
      <c r="AA46" s="89" t="inlineStr">
        <is>
          <t>P</t>
        </is>
      </c>
      <c r="AB46" s="89" t="inlineStr">
        <is>
          <t>P</t>
        </is>
      </c>
      <c r="AC46" s="89" t="inlineStr">
        <is>
          <t>P</t>
        </is>
      </c>
      <c r="AD46" s="89" t="inlineStr">
        <is>
          <t>P</t>
        </is>
      </c>
      <c r="AE46" s="89" t="inlineStr">
        <is>
          <t>P</t>
        </is>
      </c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8">
        <f>IF($A47="","",'Employee Master'!C47)</f>
        <v/>
      </c>
      <c r="D47" s="89" t="inlineStr">
        <is>
          <t>P</t>
        </is>
      </c>
      <c r="E47" s="89" t="inlineStr">
        <is>
          <t>P</t>
        </is>
      </c>
      <c r="F47" s="89" t="inlineStr">
        <is>
          <t>P</t>
        </is>
      </c>
      <c r="G47" s="89" t="inlineStr">
        <is>
          <t>P</t>
        </is>
      </c>
      <c r="H47" s="89" t="inlineStr">
        <is>
          <t>P</t>
        </is>
      </c>
      <c r="I47" s="89" t="inlineStr">
        <is>
          <t>P</t>
        </is>
      </c>
      <c r="J47" s="89" t="inlineStr">
        <is>
          <t>P</t>
        </is>
      </c>
      <c r="K47" s="89" t="inlineStr">
        <is>
          <t>P</t>
        </is>
      </c>
      <c r="L47" s="89" t="inlineStr">
        <is>
          <t>P</t>
        </is>
      </c>
      <c r="M47" s="89" t="inlineStr">
        <is>
          <t>P</t>
        </is>
      </c>
      <c r="N47" s="89" t="inlineStr">
        <is>
          <t>P</t>
        </is>
      </c>
      <c r="O47" s="89" t="inlineStr">
        <is>
          <t>P</t>
        </is>
      </c>
      <c r="P47" s="89" t="inlineStr">
        <is>
          <t>P</t>
        </is>
      </c>
      <c r="Q47" s="89" t="inlineStr">
        <is>
          <t>P</t>
        </is>
      </c>
      <c r="R47" s="89" t="inlineStr">
        <is>
          <t>P</t>
        </is>
      </c>
      <c r="S47" s="89" t="inlineStr">
        <is>
          <t>P</t>
        </is>
      </c>
      <c r="T47" s="89" t="inlineStr">
        <is>
          <t>P</t>
        </is>
      </c>
      <c r="U47" s="89" t="inlineStr">
        <is>
          <t>P</t>
        </is>
      </c>
      <c r="V47" s="89" t="inlineStr">
        <is>
          <t>P</t>
        </is>
      </c>
      <c r="W47" s="89" t="inlineStr">
        <is>
          <t>P</t>
        </is>
      </c>
      <c r="X47" s="89" t="inlineStr">
        <is>
          <t>P</t>
        </is>
      </c>
      <c r="Y47" s="89" t="inlineStr">
        <is>
          <t>P</t>
        </is>
      </c>
      <c r="Z47" s="89" t="inlineStr">
        <is>
          <t>P</t>
        </is>
      </c>
      <c r="AA47" s="89" t="inlineStr">
        <is>
          <t>P</t>
        </is>
      </c>
      <c r="AB47" s="89" t="inlineStr">
        <is>
          <t>P</t>
        </is>
      </c>
      <c r="AC47" s="89" t="inlineStr">
        <is>
          <t>P</t>
        </is>
      </c>
      <c r="AD47" s="89" t="inlineStr">
        <is>
          <t>P</t>
        </is>
      </c>
      <c r="AE47" s="89" t="inlineStr">
        <is>
          <t>P</t>
        </is>
      </c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8">
        <f>IF($A48="","",'Employee Master'!C48)</f>
        <v/>
      </c>
      <c r="D48" s="89" t="inlineStr">
        <is>
          <t>P</t>
        </is>
      </c>
      <c r="E48" s="89" t="inlineStr">
        <is>
          <t>P</t>
        </is>
      </c>
      <c r="F48" s="89" t="inlineStr">
        <is>
          <t>P</t>
        </is>
      </c>
      <c r="G48" s="121" t="inlineStr">
        <is>
          <t>UA</t>
        </is>
      </c>
      <c r="H48" s="89" t="inlineStr">
        <is>
          <t>P</t>
        </is>
      </c>
      <c r="I48" s="89" t="inlineStr">
        <is>
          <t>P</t>
        </is>
      </c>
      <c r="J48" s="89" t="inlineStr">
        <is>
          <t>P</t>
        </is>
      </c>
      <c r="K48" s="89" t="inlineStr">
        <is>
          <t>P</t>
        </is>
      </c>
      <c r="L48" s="89" t="inlineStr">
        <is>
          <t>P</t>
        </is>
      </c>
      <c r="M48" s="89" t="inlineStr">
        <is>
          <t>P</t>
        </is>
      </c>
      <c r="N48" s="89" t="inlineStr">
        <is>
          <t>P</t>
        </is>
      </c>
      <c r="O48" s="89" t="inlineStr">
        <is>
          <t>P</t>
        </is>
      </c>
      <c r="P48" s="89" t="inlineStr">
        <is>
          <t>P</t>
        </is>
      </c>
      <c r="Q48" s="89" t="inlineStr">
        <is>
          <t>P</t>
        </is>
      </c>
      <c r="R48" s="89" t="inlineStr">
        <is>
          <t>P</t>
        </is>
      </c>
      <c r="S48" s="121" t="inlineStr">
        <is>
          <t>UA</t>
        </is>
      </c>
      <c r="T48" s="121" t="inlineStr">
        <is>
          <t>UA</t>
        </is>
      </c>
      <c r="U48" s="121" t="inlineStr">
        <is>
          <t>UA</t>
        </is>
      </c>
      <c r="V48" s="121" t="inlineStr">
        <is>
          <t>UA</t>
        </is>
      </c>
      <c r="W48" s="121" t="inlineStr">
        <is>
          <t>UA</t>
        </is>
      </c>
      <c r="X48" s="121" t="inlineStr">
        <is>
          <t>UA</t>
        </is>
      </c>
      <c r="Y48" s="121" t="inlineStr">
        <is>
          <t>UA</t>
        </is>
      </c>
      <c r="Z48" s="121" t="inlineStr">
        <is>
          <t>UA</t>
        </is>
      </c>
      <c r="AA48" s="121" t="inlineStr">
        <is>
          <t>UA</t>
        </is>
      </c>
      <c r="AB48" s="121" t="inlineStr">
        <is>
          <t>UA</t>
        </is>
      </c>
      <c r="AC48" s="121" t="inlineStr">
        <is>
          <t>UA</t>
        </is>
      </c>
      <c r="AD48" s="121" t="inlineStr">
        <is>
          <t>UA</t>
        </is>
      </c>
      <c r="AE48" s="121" t="inlineStr">
        <is>
          <t>UA</t>
        </is>
      </c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8">
        <f>IF($A49="","",'Employee Master'!C49)</f>
        <v/>
      </c>
      <c r="D49" s="89" t="inlineStr">
        <is>
          <t>P</t>
        </is>
      </c>
      <c r="E49" s="89" t="inlineStr">
        <is>
          <t>P</t>
        </is>
      </c>
      <c r="F49" s="89" t="inlineStr">
        <is>
          <t>P</t>
        </is>
      </c>
      <c r="G49" s="89" t="inlineStr">
        <is>
          <t>P</t>
        </is>
      </c>
      <c r="H49" s="89" t="inlineStr">
        <is>
          <t>P</t>
        </is>
      </c>
      <c r="I49" s="89" t="inlineStr">
        <is>
          <t>P</t>
        </is>
      </c>
      <c r="J49" s="89" t="inlineStr">
        <is>
          <t>P</t>
        </is>
      </c>
      <c r="K49" s="89" t="inlineStr">
        <is>
          <t>P</t>
        </is>
      </c>
      <c r="L49" s="89" t="inlineStr">
        <is>
          <t>P</t>
        </is>
      </c>
      <c r="M49" s="89" t="inlineStr">
        <is>
          <t>P</t>
        </is>
      </c>
      <c r="N49" s="89" t="inlineStr">
        <is>
          <t>P</t>
        </is>
      </c>
      <c r="O49" s="89" t="inlineStr">
        <is>
          <t>P</t>
        </is>
      </c>
      <c r="P49" s="89" t="inlineStr">
        <is>
          <t>P</t>
        </is>
      </c>
      <c r="Q49" s="89" t="inlineStr">
        <is>
          <t>P</t>
        </is>
      </c>
      <c r="R49" s="89" t="inlineStr">
        <is>
          <t>P</t>
        </is>
      </c>
      <c r="S49" s="89" t="inlineStr">
        <is>
          <t>P</t>
        </is>
      </c>
      <c r="T49" s="89" t="inlineStr">
        <is>
          <t>P</t>
        </is>
      </c>
      <c r="U49" s="89" t="inlineStr">
        <is>
          <t>P</t>
        </is>
      </c>
      <c r="V49" s="89" t="inlineStr">
        <is>
          <t>P</t>
        </is>
      </c>
      <c r="W49" s="89" t="inlineStr">
        <is>
          <t>P</t>
        </is>
      </c>
      <c r="X49" s="89" t="inlineStr">
        <is>
          <t>P</t>
        </is>
      </c>
      <c r="Y49" s="89" t="inlineStr">
        <is>
          <t>P</t>
        </is>
      </c>
      <c r="Z49" s="89" t="inlineStr">
        <is>
          <t>P</t>
        </is>
      </c>
      <c r="AA49" s="89" t="inlineStr">
        <is>
          <t>P</t>
        </is>
      </c>
      <c r="AB49" s="89" t="inlineStr">
        <is>
          <t>P</t>
        </is>
      </c>
      <c r="AC49" s="89" t="inlineStr">
        <is>
          <t>P</t>
        </is>
      </c>
      <c r="AD49" s="89" t="inlineStr">
        <is>
          <t>P</t>
        </is>
      </c>
      <c r="AE49" s="89" t="inlineStr">
        <is>
          <t>P</t>
        </is>
      </c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8">
        <f>IF($A50="","",'Employee Master'!C50)</f>
        <v/>
      </c>
      <c r="D50" s="89" t="inlineStr">
        <is>
          <t>P</t>
        </is>
      </c>
      <c r="E50" s="89" t="inlineStr">
        <is>
          <t>P</t>
        </is>
      </c>
      <c r="F50" s="89" t="inlineStr">
        <is>
          <t>P</t>
        </is>
      </c>
      <c r="G50" s="89" t="inlineStr">
        <is>
          <t>P</t>
        </is>
      </c>
      <c r="H50" s="89" t="inlineStr">
        <is>
          <t>P</t>
        </is>
      </c>
      <c r="I50" s="89" t="inlineStr">
        <is>
          <t>P</t>
        </is>
      </c>
      <c r="J50" s="89" t="inlineStr">
        <is>
          <t>P</t>
        </is>
      </c>
      <c r="K50" s="89" t="inlineStr">
        <is>
          <t>P</t>
        </is>
      </c>
      <c r="L50" s="89" t="inlineStr">
        <is>
          <t>P</t>
        </is>
      </c>
      <c r="M50" s="89" t="inlineStr">
        <is>
          <t>P</t>
        </is>
      </c>
      <c r="N50" s="89" t="inlineStr">
        <is>
          <t>P</t>
        </is>
      </c>
      <c r="O50" s="89" t="inlineStr">
        <is>
          <t>P</t>
        </is>
      </c>
      <c r="P50" s="89" t="inlineStr">
        <is>
          <t>P</t>
        </is>
      </c>
      <c r="Q50" s="89" t="inlineStr">
        <is>
          <t>P</t>
        </is>
      </c>
      <c r="R50" s="89" t="inlineStr">
        <is>
          <t>P</t>
        </is>
      </c>
      <c r="S50" s="89" t="inlineStr">
        <is>
          <t>P</t>
        </is>
      </c>
      <c r="T50" s="89" t="inlineStr">
        <is>
          <t>P</t>
        </is>
      </c>
      <c r="U50" s="89" t="inlineStr">
        <is>
          <t>P</t>
        </is>
      </c>
      <c r="V50" s="89" t="inlineStr">
        <is>
          <t>P</t>
        </is>
      </c>
      <c r="W50" s="121" t="inlineStr">
        <is>
          <t>UA</t>
        </is>
      </c>
      <c r="X50" s="121" t="inlineStr">
        <is>
          <t>UA</t>
        </is>
      </c>
      <c r="Y50" s="121" t="inlineStr">
        <is>
          <t>UA</t>
        </is>
      </c>
      <c r="Z50" s="121" t="inlineStr">
        <is>
          <t>UA</t>
        </is>
      </c>
      <c r="AA50" s="121" t="inlineStr">
        <is>
          <t>UA</t>
        </is>
      </c>
      <c r="AB50" s="121" t="inlineStr">
        <is>
          <t>UA</t>
        </is>
      </c>
      <c r="AC50" s="121" t="inlineStr">
        <is>
          <t>UA</t>
        </is>
      </c>
      <c r="AD50" s="121" t="inlineStr">
        <is>
          <t>UA</t>
        </is>
      </c>
      <c r="AE50" s="121" t="inlineStr">
        <is>
          <t>UA</t>
        </is>
      </c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8">
        <f>IF($A51="","",'Employee Master'!C51)</f>
        <v/>
      </c>
      <c r="D51" s="89" t="inlineStr">
        <is>
          <t>P</t>
        </is>
      </c>
      <c r="E51" s="121" t="inlineStr">
        <is>
          <t>UA</t>
        </is>
      </c>
      <c r="F51" s="121" t="inlineStr">
        <is>
          <t>UA</t>
        </is>
      </c>
      <c r="G51" s="121" t="inlineStr">
        <is>
          <t>UA</t>
        </is>
      </c>
      <c r="H51" s="121" t="inlineStr">
        <is>
          <t>UA</t>
        </is>
      </c>
      <c r="I51" s="121" t="inlineStr">
        <is>
          <t>UA</t>
        </is>
      </c>
      <c r="J51" s="121" t="inlineStr">
        <is>
          <t>UA</t>
        </is>
      </c>
      <c r="K51" s="121" t="inlineStr">
        <is>
          <t>UA</t>
        </is>
      </c>
      <c r="L51" s="121" t="inlineStr">
        <is>
          <t>UA</t>
        </is>
      </c>
      <c r="M51" s="121" t="inlineStr">
        <is>
          <t>UA</t>
        </is>
      </c>
      <c r="N51" s="121" t="inlineStr">
        <is>
          <t>UA</t>
        </is>
      </c>
      <c r="O51" s="89" t="inlineStr">
        <is>
          <t>P</t>
        </is>
      </c>
      <c r="P51" s="89" t="inlineStr">
        <is>
          <t>P</t>
        </is>
      </c>
      <c r="Q51" s="89" t="inlineStr">
        <is>
          <t>P</t>
        </is>
      </c>
      <c r="R51" s="89" t="inlineStr">
        <is>
          <t>P</t>
        </is>
      </c>
      <c r="S51" s="89" t="inlineStr">
        <is>
          <t>P</t>
        </is>
      </c>
      <c r="T51" s="89" t="inlineStr">
        <is>
          <t>P</t>
        </is>
      </c>
      <c r="U51" s="89" t="inlineStr">
        <is>
          <t>P</t>
        </is>
      </c>
      <c r="V51" s="89" t="inlineStr">
        <is>
          <t>P</t>
        </is>
      </c>
      <c r="W51" s="89" t="inlineStr">
        <is>
          <t>P</t>
        </is>
      </c>
      <c r="X51" s="89" t="inlineStr">
        <is>
          <t>P</t>
        </is>
      </c>
      <c r="Y51" s="89" t="inlineStr">
        <is>
          <t>P</t>
        </is>
      </c>
      <c r="Z51" s="89" t="inlineStr">
        <is>
          <t>P</t>
        </is>
      </c>
      <c r="AA51" s="89" t="inlineStr">
        <is>
          <t>P</t>
        </is>
      </c>
      <c r="AB51" s="89" t="inlineStr">
        <is>
          <t>P</t>
        </is>
      </c>
      <c r="AC51" s="89" t="inlineStr">
        <is>
          <t>P</t>
        </is>
      </c>
      <c r="AD51" s="89" t="inlineStr">
        <is>
          <t>P</t>
        </is>
      </c>
      <c r="AE51" s="89" t="inlineStr">
        <is>
          <t>P</t>
        </is>
      </c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8">
        <f>IF($A52="","",'Employee Master'!C52)</f>
        <v/>
      </c>
      <c r="D52" s="121" t="inlineStr">
        <is>
          <t>UA</t>
        </is>
      </c>
      <c r="E52" s="121" t="inlineStr">
        <is>
          <t>UA</t>
        </is>
      </c>
      <c r="F52" s="121" t="inlineStr">
        <is>
          <t>UA</t>
        </is>
      </c>
      <c r="G52" s="121" t="inlineStr">
        <is>
          <t>UA</t>
        </is>
      </c>
      <c r="H52" s="121" t="inlineStr">
        <is>
          <t>UA</t>
        </is>
      </c>
      <c r="I52" s="121" t="inlineStr">
        <is>
          <t>UA</t>
        </is>
      </c>
      <c r="J52" s="121" t="inlineStr">
        <is>
          <t>UA</t>
        </is>
      </c>
      <c r="K52" s="121" t="inlineStr">
        <is>
          <t>UA</t>
        </is>
      </c>
      <c r="L52" s="121" t="inlineStr">
        <is>
          <t>UA</t>
        </is>
      </c>
      <c r="M52" s="121" t="inlineStr">
        <is>
          <t>UA</t>
        </is>
      </c>
      <c r="N52" s="121" t="inlineStr">
        <is>
          <t>UA</t>
        </is>
      </c>
      <c r="O52" s="89" t="inlineStr">
        <is>
          <t>P</t>
        </is>
      </c>
      <c r="P52" s="89" t="inlineStr">
        <is>
          <t>P</t>
        </is>
      </c>
      <c r="Q52" s="89" t="inlineStr">
        <is>
          <t>P</t>
        </is>
      </c>
      <c r="R52" s="89" t="inlineStr">
        <is>
          <t>P</t>
        </is>
      </c>
      <c r="S52" s="89" t="inlineStr">
        <is>
          <t>P</t>
        </is>
      </c>
      <c r="T52" s="89" t="inlineStr">
        <is>
          <t>P</t>
        </is>
      </c>
      <c r="U52" s="89" t="inlineStr">
        <is>
          <t>P</t>
        </is>
      </c>
      <c r="V52" s="89" t="inlineStr">
        <is>
          <t>P</t>
        </is>
      </c>
      <c r="W52" s="89" t="inlineStr">
        <is>
          <t>P</t>
        </is>
      </c>
      <c r="X52" s="89" t="inlineStr">
        <is>
          <t>P</t>
        </is>
      </c>
      <c r="Y52" s="89" t="inlineStr">
        <is>
          <t>P</t>
        </is>
      </c>
      <c r="Z52" s="121" t="inlineStr">
        <is>
          <t>UA</t>
        </is>
      </c>
      <c r="AA52" s="121" t="inlineStr">
        <is>
          <t>UA</t>
        </is>
      </c>
      <c r="AB52" s="121" t="inlineStr">
        <is>
          <t>UA</t>
        </is>
      </c>
      <c r="AC52" s="121" t="inlineStr">
        <is>
          <t>UA</t>
        </is>
      </c>
      <c r="AD52" s="121" t="inlineStr">
        <is>
          <t>UA</t>
        </is>
      </c>
      <c r="AE52" s="121" t="inlineStr">
        <is>
          <t>UA</t>
        </is>
      </c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8">
        <f>IF($A53="","",'Employee Master'!C53)</f>
        <v/>
      </c>
      <c r="D53" s="89" t="inlineStr">
        <is>
          <t>P</t>
        </is>
      </c>
      <c r="E53" s="89" t="inlineStr">
        <is>
          <t>P</t>
        </is>
      </c>
      <c r="F53" s="89" t="inlineStr">
        <is>
          <t>P</t>
        </is>
      </c>
      <c r="G53" s="89" t="inlineStr">
        <is>
          <t>P</t>
        </is>
      </c>
      <c r="H53" s="89" t="inlineStr">
        <is>
          <t>P</t>
        </is>
      </c>
      <c r="I53" s="89" t="inlineStr">
        <is>
          <t>P</t>
        </is>
      </c>
      <c r="J53" s="89" t="inlineStr">
        <is>
          <t>P</t>
        </is>
      </c>
      <c r="K53" s="89" t="inlineStr">
        <is>
          <t>P</t>
        </is>
      </c>
      <c r="L53" s="89" t="inlineStr">
        <is>
          <t>P</t>
        </is>
      </c>
      <c r="M53" s="89" t="inlineStr">
        <is>
          <t>P</t>
        </is>
      </c>
      <c r="N53" s="89" t="inlineStr">
        <is>
          <t>P</t>
        </is>
      </c>
      <c r="O53" s="89" t="inlineStr">
        <is>
          <t>P</t>
        </is>
      </c>
      <c r="P53" s="89" t="inlineStr">
        <is>
          <t>P</t>
        </is>
      </c>
      <c r="Q53" s="89" t="inlineStr">
        <is>
          <t>P</t>
        </is>
      </c>
      <c r="R53" s="89" t="inlineStr">
        <is>
          <t>P</t>
        </is>
      </c>
      <c r="S53" s="89" t="inlineStr">
        <is>
          <t>P</t>
        </is>
      </c>
      <c r="T53" s="89" t="inlineStr">
        <is>
          <t>P</t>
        </is>
      </c>
      <c r="U53" s="89" t="inlineStr">
        <is>
          <t>P</t>
        </is>
      </c>
      <c r="V53" s="89" t="inlineStr">
        <is>
          <t>P</t>
        </is>
      </c>
      <c r="W53" s="89" t="inlineStr">
        <is>
          <t>P</t>
        </is>
      </c>
      <c r="X53" s="89" t="inlineStr">
        <is>
          <t>P</t>
        </is>
      </c>
      <c r="Y53" s="89" t="inlineStr">
        <is>
          <t>P</t>
        </is>
      </c>
      <c r="Z53" s="89" t="inlineStr">
        <is>
          <t>P</t>
        </is>
      </c>
      <c r="AA53" s="89" t="inlineStr">
        <is>
          <t>P</t>
        </is>
      </c>
      <c r="AB53" s="89" t="inlineStr">
        <is>
          <t>P</t>
        </is>
      </c>
      <c r="AC53" s="89" t="inlineStr">
        <is>
          <t>P</t>
        </is>
      </c>
      <c r="AD53" s="89" t="inlineStr">
        <is>
          <t>P</t>
        </is>
      </c>
      <c r="AE53" s="89" t="inlineStr">
        <is>
          <t>P</t>
        </is>
      </c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8">
        <f>IF($A54="","",'Employee Master'!C54)</f>
        <v/>
      </c>
      <c r="D54" s="89" t="inlineStr">
        <is>
          <t>AA</t>
        </is>
      </c>
      <c r="E54" s="89" t="inlineStr">
        <is>
          <t>AA</t>
        </is>
      </c>
      <c r="F54" s="89" t="inlineStr">
        <is>
          <t>AA</t>
        </is>
      </c>
      <c r="G54" s="89" t="inlineStr">
        <is>
          <t>AA</t>
        </is>
      </c>
      <c r="H54" s="89" t="inlineStr">
        <is>
          <t>AA</t>
        </is>
      </c>
      <c r="I54" s="89" t="inlineStr">
        <is>
          <t>AA</t>
        </is>
      </c>
      <c r="J54" s="89" t="inlineStr">
        <is>
          <t>AA</t>
        </is>
      </c>
      <c r="K54" s="89" t="inlineStr">
        <is>
          <t>AA</t>
        </is>
      </c>
      <c r="L54" s="89" t="inlineStr">
        <is>
          <t>AA</t>
        </is>
      </c>
      <c r="M54" s="89" t="inlineStr">
        <is>
          <t>AA</t>
        </is>
      </c>
      <c r="N54" s="89" t="inlineStr">
        <is>
          <t>AA</t>
        </is>
      </c>
      <c r="O54" s="89" t="inlineStr">
        <is>
          <t>AA</t>
        </is>
      </c>
      <c r="P54" s="89" t="inlineStr">
        <is>
          <t>AA</t>
        </is>
      </c>
      <c r="Q54" s="89" t="inlineStr">
        <is>
          <t>AA</t>
        </is>
      </c>
      <c r="R54" s="89" t="inlineStr">
        <is>
          <t>AA</t>
        </is>
      </c>
      <c r="S54" s="89" t="inlineStr">
        <is>
          <t>AA</t>
        </is>
      </c>
      <c r="T54" s="89" t="inlineStr">
        <is>
          <t>AA</t>
        </is>
      </c>
      <c r="U54" s="89" t="inlineStr">
        <is>
          <t>AA</t>
        </is>
      </c>
      <c r="V54" s="89" t="inlineStr">
        <is>
          <t>AA</t>
        </is>
      </c>
      <c r="W54" s="89" t="inlineStr">
        <is>
          <t>AA</t>
        </is>
      </c>
      <c r="X54" s="89" t="inlineStr">
        <is>
          <t>AA</t>
        </is>
      </c>
      <c r="Y54" s="89" t="inlineStr">
        <is>
          <t>AA</t>
        </is>
      </c>
      <c r="Z54" s="89" t="inlineStr">
        <is>
          <t>AA</t>
        </is>
      </c>
      <c r="AA54" s="89" t="inlineStr">
        <is>
          <t>AA</t>
        </is>
      </c>
      <c r="AB54" s="89" t="inlineStr">
        <is>
          <t>AA</t>
        </is>
      </c>
      <c r="AC54" s="89" t="inlineStr">
        <is>
          <t>AA</t>
        </is>
      </c>
      <c r="AD54" s="89" t="inlineStr">
        <is>
          <t>AA</t>
        </is>
      </c>
      <c r="AE54" s="89" t="inlineStr">
        <is>
          <t>AA</t>
        </is>
      </c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8">
        <f>IF($A55="","",'Employee Master'!C55)</f>
        <v/>
      </c>
      <c r="D55" s="121" t="inlineStr">
        <is>
          <t>UA</t>
        </is>
      </c>
      <c r="E55" s="121" t="inlineStr">
        <is>
          <t>UA</t>
        </is>
      </c>
      <c r="F55" s="121" t="inlineStr">
        <is>
          <t>UA</t>
        </is>
      </c>
      <c r="G55" s="121" t="inlineStr">
        <is>
          <t>UA</t>
        </is>
      </c>
      <c r="H55" s="121" t="inlineStr">
        <is>
          <t>UA</t>
        </is>
      </c>
      <c r="I55" s="121" t="inlineStr">
        <is>
          <t>UA</t>
        </is>
      </c>
      <c r="J55" s="121" t="inlineStr">
        <is>
          <t>UA</t>
        </is>
      </c>
      <c r="K55" s="121" t="inlineStr">
        <is>
          <t>UA</t>
        </is>
      </c>
      <c r="L55" s="121" t="inlineStr">
        <is>
          <t>UA</t>
        </is>
      </c>
      <c r="M55" s="121" t="inlineStr">
        <is>
          <t>UA</t>
        </is>
      </c>
      <c r="N55" s="121" t="inlineStr">
        <is>
          <t>UA</t>
        </is>
      </c>
      <c r="O55" s="121" t="inlineStr">
        <is>
          <t>UA</t>
        </is>
      </c>
      <c r="P55" s="121" t="inlineStr">
        <is>
          <t>UA</t>
        </is>
      </c>
      <c r="Q55" s="121" t="inlineStr">
        <is>
          <t>UA</t>
        </is>
      </c>
      <c r="R55" s="121" t="inlineStr">
        <is>
          <t>UA</t>
        </is>
      </c>
      <c r="S55" s="121" t="inlineStr">
        <is>
          <t>UA</t>
        </is>
      </c>
      <c r="T55" s="121" t="inlineStr">
        <is>
          <t>UA</t>
        </is>
      </c>
      <c r="U55" s="121" t="inlineStr">
        <is>
          <t>UA</t>
        </is>
      </c>
      <c r="V55" s="121" t="inlineStr">
        <is>
          <t>UA</t>
        </is>
      </c>
      <c r="W55" s="121" t="inlineStr">
        <is>
          <t>UA</t>
        </is>
      </c>
      <c r="X55" s="121" t="inlineStr">
        <is>
          <t>UA</t>
        </is>
      </c>
      <c r="Y55" s="121" t="inlineStr">
        <is>
          <t>UA</t>
        </is>
      </c>
      <c r="Z55" s="121" t="inlineStr">
        <is>
          <t>UA</t>
        </is>
      </c>
      <c r="AA55" s="121" t="inlineStr">
        <is>
          <t>UA</t>
        </is>
      </c>
      <c r="AB55" s="121" t="inlineStr">
        <is>
          <t>UA</t>
        </is>
      </c>
      <c r="AC55" s="121" t="inlineStr">
        <is>
          <t>UA</t>
        </is>
      </c>
      <c r="AD55" s="121" t="inlineStr">
        <is>
          <t>UA</t>
        </is>
      </c>
      <c r="AE55" s="121" t="inlineStr">
        <is>
          <t>UA</t>
        </is>
      </c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8">
        <f>IF($A56="","",'Employee Master'!C56)</f>
        <v/>
      </c>
      <c r="D56" s="89" t="inlineStr">
        <is>
          <t>P</t>
        </is>
      </c>
      <c r="E56" s="89" t="inlineStr">
        <is>
          <t>P</t>
        </is>
      </c>
      <c r="F56" s="89" t="inlineStr">
        <is>
          <t>P</t>
        </is>
      </c>
      <c r="G56" s="89" t="inlineStr">
        <is>
          <t>P</t>
        </is>
      </c>
      <c r="H56" s="89" t="inlineStr">
        <is>
          <t>P</t>
        </is>
      </c>
      <c r="I56" s="89" t="inlineStr">
        <is>
          <t>P</t>
        </is>
      </c>
      <c r="J56" s="89" t="inlineStr">
        <is>
          <t>P</t>
        </is>
      </c>
      <c r="K56" s="89" t="inlineStr">
        <is>
          <t>P</t>
        </is>
      </c>
      <c r="L56" s="89" t="inlineStr">
        <is>
          <t>P</t>
        </is>
      </c>
      <c r="M56" s="89" t="inlineStr">
        <is>
          <t>P</t>
        </is>
      </c>
      <c r="N56" s="89" t="inlineStr">
        <is>
          <t>P</t>
        </is>
      </c>
      <c r="O56" s="89" t="inlineStr">
        <is>
          <t>P</t>
        </is>
      </c>
      <c r="P56" s="89" t="inlineStr">
        <is>
          <t>P</t>
        </is>
      </c>
      <c r="Q56" s="89" t="inlineStr">
        <is>
          <t>P</t>
        </is>
      </c>
      <c r="R56" s="89" t="inlineStr">
        <is>
          <t>P</t>
        </is>
      </c>
      <c r="S56" s="121" t="inlineStr">
        <is>
          <t>UA</t>
        </is>
      </c>
      <c r="T56" s="121" t="inlineStr">
        <is>
          <t>UA</t>
        </is>
      </c>
      <c r="U56" s="121" t="inlineStr">
        <is>
          <t>UA</t>
        </is>
      </c>
      <c r="V56" s="121" t="inlineStr">
        <is>
          <t>UA</t>
        </is>
      </c>
      <c r="W56" s="121" t="inlineStr">
        <is>
          <t>UA</t>
        </is>
      </c>
      <c r="X56" s="121" t="inlineStr">
        <is>
          <t>UA</t>
        </is>
      </c>
      <c r="Y56" s="121" t="inlineStr">
        <is>
          <t>UA</t>
        </is>
      </c>
      <c r="Z56" s="121" t="inlineStr">
        <is>
          <t>UA</t>
        </is>
      </c>
      <c r="AA56" s="121" t="inlineStr">
        <is>
          <t>UA</t>
        </is>
      </c>
      <c r="AB56" s="121" t="inlineStr">
        <is>
          <t>UA</t>
        </is>
      </c>
      <c r="AC56" s="121" t="inlineStr">
        <is>
          <t>UA</t>
        </is>
      </c>
      <c r="AD56" s="121" t="inlineStr">
        <is>
          <t>UA</t>
        </is>
      </c>
      <c r="AE56" s="89" t="inlineStr">
        <is>
          <t>P</t>
        </is>
      </c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8">
        <f>IF($A57="","",'Employee Master'!C57)</f>
        <v/>
      </c>
      <c r="D57" s="89" t="inlineStr">
        <is>
          <t>P</t>
        </is>
      </c>
      <c r="E57" s="89" t="inlineStr">
        <is>
          <t>P</t>
        </is>
      </c>
      <c r="F57" s="89" t="inlineStr">
        <is>
          <t>P</t>
        </is>
      </c>
      <c r="G57" s="89" t="inlineStr">
        <is>
          <t>P</t>
        </is>
      </c>
      <c r="H57" s="89" t="inlineStr">
        <is>
          <t>P</t>
        </is>
      </c>
      <c r="I57" s="89" t="inlineStr">
        <is>
          <t>P</t>
        </is>
      </c>
      <c r="J57" s="89" t="inlineStr">
        <is>
          <t>P</t>
        </is>
      </c>
      <c r="K57" s="89" t="inlineStr">
        <is>
          <t>P</t>
        </is>
      </c>
      <c r="L57" s="89" t="inlineStr">
        <is>
          <t>P</t>
        </is>
      </c>
      <c r="M57" s="89" t="inlineStr">
        <is>
          <t>P</t>
        </is>
      </c>
      <c r="N57" s="89" t="inlineStr">
        <is>
          <t>P</t>
        </is>
      </c>
      <c r="O57" s="89" t="inlineStr">
        <is>
          <t>P</t>
        </is>
      </c>
      <c r="P57" s="89" t="inlineStr">
        <is>
          <t>P</t>
        </is>
      </c>
      <c r="Q57" s="89" t="inlineStr">
        <is>
          <t>P</t>
        </is>
      </c>
      <c r="R57" s="89" t="inlineStr">
        <is>
          <t>P</t>
        </is>
      </c>
      <c r="S57" s="89" t="inlineStr">
        <is>
          <t>P</t>
        </is>
      </c>
      <c r="T57" s="89" t="inlineStr">
        <is>
          <t>P</t>
        </is>
      </c>
      <c r="U57" s="89" t="inlineStr">
        <is>
          <t>P</t>
        </is>
      </c>
      <c r="V57" s="89" t="inlineStr">
        <is>
          <t>P</t>
        </is>
      </c>
      <c r="W57" s="89" t="inlineStr">
        <is>
          <t>P</t>
        </is>
      </c>
      <c r="X57" s="89" t="inlineStr">
        <is>
          <t>P</t>
        </is>
      </c>
      <c r="Y57" s="89" t="inlineStr">
        <is>
          <t>P</t>
        </is>
      </c>
      <c r="Z57" s="89" t="inlineStr">
        <is>
          <t>P</t>
        </is>
      </c>
      <c r="AA57" s="89" t="inlineStr">
        <is>
          <t>P</t>
        </is>
      </c>
      <c r="AB57" s="89" t="inlineStr">
        <is>
          <t>P</t>
        </is>
      </c>
      <c r="AC57" s="89" t="inlineStr">
        <is>
          <t>P</t>
        </is>
      </c>
      <c r="AD57" s="89" t="inlineStr">
        <is>
          <t>P</t>
        </is>
      </c>
      <c r="AE57" s="89" t="inlineStr">
        <is>
          <t>P</t>
        </is>
      </c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8">
        <f>IF($A58="","",'Employee Master'!C58)</f>
        <v/>
      </c>
      <c r="D58" s="89" t="inlineStr">
        <is>
          <t>P</t>
        </is>
      </c>
      <c r="E58" s="89" t="inlineStr">
        <is>
          <t>P</t>
        </is>
      </c>
      <c r="F58" s="89" t="inlineStr">
        <is>
          <t>P</t>
        </is>
      </c>
      <c r="G58" s="89" t="inlineStr">
        <is>
          <t>P</t>
        </is>
      </c>
      <c r="H58" s="89" t="inlineStr">
        <is>
          <t>P</t>
        </is>
      </c>
      <c r="I58" s="89" t="inlineStr">
        <is>
          <t>P</t>
        </is>
      </c>
      <c r="J58" s="89" t="inlineStr">
        <is>
          <t>P</t>
        </is>
      </c>
      <c r="K58" s="89" t="inlineStr">
        <is>
          <t>P</t>
        </is>
      </c>
      <c r="L58" s="121" t="inlineStr">
        <is>
          <t>UA</t>
        </is>
      </c>
      <c r="M58" s="121" t="inlineStr">
        <is>
          <t>UA</t>
        </is>
      </c>
      <c r="N58" s="121" t="inlineStr">
        <is>
          <t>UA</t>
        </is>
      </c>
      <c r="O58" s="121" t="inlineStr">
        <is>
          <t>UA</t>
        </is>
      </c>
      <c r="P58" s="121" t="inlineStr">
        <is>
          <t>UA</t>
        </is>
      </c>
      <c r="Q58" s="121" t="inlineStr">
        <is>
          <t>UA</t>
        </is>
      </c>
      <c r="R58" s="121" t="inlineStr">
        <is>
          <t>UA</t>
        </is>
      </c>
      <c r="S58" s="121" t="inlineStr">
        <is>
          <t>UA</t>
        </is>
      </c>
      <c r="T58" s="121" t="inlineStr">
        <is>
          <t>UA</t>
        </is>
      </c>
      <c r="U58" s="121" t="inlineStr">
        <is>
          <t>UA</t>
        </is>
      </c>
      <c r="V58" s="121" t="inlineStr">
        <is>
          <t>UA</t>
        </is>
      </c>
      <c r="W58" s="121" t="inlineStr">
        <is>
          <t>UA</t>
        </is>
      </c>
      <c r="X58" s="121" t="inlineStr">
        <is>
          <t>UA</t>
        </is>
      </c>
      <c r="Y58" s="121" t="inlineStr">
        <is>
          <t>UA</t>
        </is>
      </c>
      <c r="Z58" s="121" t="inlineStr">
        <is>
          <t>UA</t>
        </is>
      </c>
      <c r="AA58" s="89" t="inlineStr">
        <is>
          <t>P</t>
        </is>
      </c>
      <c r="AB58" s="89" t="inlineStr">
        <is>
          <t>P</t>
        </is>
      </c>
      <c r="AC58" s="89" t="inlineStr">
        <is>
          <t>P</t>
        </is>
      </c>
      <c r="AD58" s="89" t="inlineStr">
        <is>
          <t>P</t>
        </is>
      </c>
      <c r="AE58" s="89" t="inlineStr">
        <is>
          <t>P</t>
        </is>
      </c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8">
        <f>IF($A59="","",'Employee Master'!C59)</f>
        <v/>
      </c>
      <c r="D59" s="89" t="inlineStr">
        <is>
          <t>P</t>
        </is>
      </c>
      <c r="E59" s="89" t="inlineStr">
        <is>
          <t>P</t>
        </is>
      </c>
      <c r="F59" s="89" t="inlineStr">
        <is>
          <t>P</t>
        </is>
      </c>
      <c r="G59" s="89" t="inlineStr">
        <is>
          <t>P</t>
        </is>
      </c>
      <c r="H59" s="89" t="inlineStr">
        <is>
          <t>P</t>
        </is>
      </c>
      <c r="I59" s="89" t="inlineStr">
        <is>
          <t>P</t>
        </is>
      </c>
      <c r="J59" s="89" t="inlineStr">
        <is>
          <t>P</t>
        </is>
      </c>
      <c r="K59" s="89" t="inlineStr">
        <is>
          <t>P</t>
        </is>
      </c>
      <c r="L59" s="89" t="inlineStr">
        <is>
          <t>P</t>
        </is>
      </c>
      <c r="M59" s="89" t="inlineStr">
        <is>
          <t>P</t>
        </is>
      </c>
      <c r="N59" s="89" t="inlineStr">
        <is>
          <t>P</t>
        </is>
      </c>
      <c r="O59" s="89" t="inlineStr">
        <is>
          <t>P</t>
        </is>
      </c>
      <c r="P59" s="89" t="inlineStr">
        <is>
          <t>P</t>
        </is>
      </c>
      <c r="Q59" s="89" t="inlineStr">
        <is>
          <t>P</t>
        </is>
      </c>
      <c r="R59" s="89" t="inlineStr">
        <is>
          <t>P</t>
        </is>
      </c>
      <c r="S59" s="89" t="inlineStr">
        <is>
          <t>P</t>
        </is>
      </c>
      <c r="T59" s="89" t="inlineStr">
        <is>
          <t>P</t>
        </is>
      </c>
      <c r="U59" s="89" t="inlineStr">
        <is>
          <t>P</t>
        </is>
      </c>
      <c r="V59" s="121" t="inlineStr">
        <is>
          <t>UA</t>
        </is>
      </c>
      <c r="W59" s="89" t="inlineStr">
        <is>
          <t>P</t>
        </is>
      </c>
      <c r="X59" s="89" t="inlineStr">
        <is>
          <t>P</t>
        </is>
      </c>
      <c r="Y59" s="89" t="inlineStr">
        <is>
          <t>P</t>
        </is>
      </c>
      <c r="Z59" s="89" t="inlineStr">
        <is>
          <t>P</t>
        </is>
      </c>
      <c r="AA59" s="89" t="inlineStr">
        <is>
          <t>P</t>
        </is>
      </c>
      <c r="AB59" s="89" t="inlineStr">
        <is>
          <t>P</t>
        </is>
      </c>
      <c r="AC59" s="89" t="inlineStr">
        <is>
          <t>P</t>
        </is>
      </c>
      <c r="AD59" s="89" t="inlineStr">
        <is>
          <t>P</t>
        </is>
      </c>
      <c r="AE59" s="89" t="inlineStr">
        <is>
          <t>P</t>
        </is>
      </c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8">
        <f>IF($A60="","",'Employee Master'!C60)</f>
        <v/>
      </c>
      <c r="D60" s="121" t="inlineStr">
        <is>
          <t>UA</t>
        </is>
      </c>
      <c r="E60" s="121" t="inlineStr">
        <is>
          <t>UA</t>
        </is>
      </c>
      <c r="F60" s="121" t="inlineStr">
        <is>
          <t>UA</t>
        </is>
      </c>
      <c r="G60" s="121" t="inlineStr">
        <is>
          <t>UA</t>
        </is>
      </c>
      <c r="H60" s="121" t="inlineStr">
        <is>
          <t>UA</t>
        </is>
      </c>
      <c r="I60" s="121" t="inlineStr">
        <is>
          <t>UA</t>
        </is>
      </c>
      <c r="J60" s="121" t="inlineStr">
        <is>
          <t>UA</t>
        </is>
      </c>
      <c r="K60" s="121" t="inlineStr">
        <is>
          <t>UA</t>
        </is>
      </c>
      <c r="L60" s="121" t="inlineStr">
        <is>
          <t>UA</t>
        </is>
      </c>
      <c r="M60" s="121" t="inlineStr">
        <is>
          <t>UA</t>
        </is>
      </c>
      <c r="N60" s="121" t="inlineStr">
        <is>
          <t>UA</t>
        </is>
      </c>
      <c r="O60" s="121" t="inlineStr">
        <is>
          <t>UA</t>
        </is>
      </c>
      <c r="P60" s="121" t="inlineStr">
        <is>
          <t>UA</t>
        </is>
      </c>
      <c r="Q60" s="121" t="inlineStr">
        <is>
          <t>UA</t>
        </is>
      </c>
      <c r="R60" s="121" t="inlineStr">
        <is>
          <t>UA</t>
        </is>
      </c>
      <c r="S60" s="121" t="inlineStr">
        <is>
          <t>UA</t>
        </is>
      </c>
      <c r="T60" s="121" t="inlineStr">
        <is>
          <t>UA</t>
        </is>
      </c>
      <c r="U60" s="121" t="inlineStr">
        <is>
          <t>UA</t>
        </is>
      </c>
      <c r="V60" s="121" t="inlineStr">
        <is>
          <t>UA</t>
        </is>
      </c>
      <c r="W60" s="121" t="inlineStr">
        <is>
          <t>UA</t>
        </is>
      </c>
      <c r="X60" s="121" t="inlineStr">
        <is>
          <t>UA</t>
        </is>
      </c>
      <c r="Y60" s="121" t="inlineStr">
        <is>
          <t>UA</t>
        </is>
      </c>
      <c r="Z60" s="121" t="inlineStr">
        <is>
          <t>UA</t>
        </is>
      </c>
      <c r="AA60" s="89" t="inlineStr">
        <is>
          <t>P</t>
        </is>
      </c>
      <c r="AB60" s="89" t="inlineStr">
        <is>
          <t>P</t>
        </is>
      </c>
      <c r="AC60" s="89" t="inlineStr">
        <is>
          <t>P</t>
        </is>
      </c>
      <c r="AD60" s="89" t="inlineStr">
        <is>
          <t>P</t>
        </is>
      </c>
      <c r="AE60" s="89" t="inlineStr">
        <is>
          <t>P</t>
        </is>
      </c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8">
        <f>IF($A61="","",'Employee Master'!C61)</f>
        <v/>
      </c>
      <c r="D61" s="89" t="inlineStr">
        <is>
          <t>P</t>
        </is>
      </c>
      <c r="E61" s="89" t="inlineStr">
        <is>
          <t>P</t>
        </is>
      </c>
      <c r="F61" s="89" t="inlineStr">
        <is>
          <t>P</t>
        </is>
      </c>
      <c r="G61" s="89" t="inlineStr">
        <is>
          <t>P</t>
        </is>
      </c>
      <c r="H61" s="121" t="inlineStr">
        <is>
          <t>UA</t>
        </is>
      </c>
      <c r="I61" s="89" t="inlineStr">
        <is>
          <t>P</t>
        </is>
      </c>
      <c r="J61" s="89" t="inlineStr">
        <is>
          <t>P</t>
        </is>
      </c>
      <c r="K61" s="89" t="inlineStr">
        <is>
          <t>P</t>
        </is>
      </c>
      <c r="L61" s="89" t="inlineStr">
        <is>
          <t>P</t>
        </is>
      </c>
      <c r="M61" s="89" t="inlineStr">
        <is>
          <t>P</t>
        </is>
      </c>
      <c r="N61" s="89" t="inlineStr">
        <is>
          <t>P</t>
        </is>
      </c>
      <c r="O61" s="89" t="inlineStr">
        <is>
          <t>P</t>
        </is>
      </c>
      <c r="P61" s="89" t="inlineStr">
        <is>
          <t>P</t>
        </is>
      </c>
      <c r="Q61" s="89" t="inlineStr">
        <is>
          <t>P</t>
        </is>
      </c>
      <c r="R61" s="89" t="inlineStr">
        <is>
          <t>P</t>
        </is>
      </c>
      <c r="S61" s="89" t="inlineStr">
        <is>
          <t>P</t>
        </is>
      </c>
      <c r="T61" s="89" t="inlineStr">
        <is>
          <t>P</t>
        </is>
      </c>
      <c r="U61" s="89" t="inlineStr">
        <is>
          <t>P</t>
        </is>
      </c>
      <c r="V61" s="89" t="inlineStr">
        <is>
          <t>P</t>
        </is>
      </c>
      <c r="W61" s="89" t="inlineStr">
        <is>
          <t>P</t>
        </is>
      </c>
      <c r="X61" s="89" t="inlineStr">
        <is>
          <t>P</t>
        </is>
      </c>
      <c r="Y61" s="89" t="inlineStr">
        <is>
          <t>P</t>
        </is>
      </c>
      <c r="Z61" s="89" t="inlineStr">
        <is>
          <t>P</t>
        </is>
      </c>
      <c r="AA61" s="89" t="inlineStr">
        <is>
          <t>P</t>
        </is>
      </c>
      <c r="AB61" s="89" t="inlineStr">
        <is>
          <t>P</t>
        </is>
      </c>
      <c r="AC61" s="89" t="inlineStr">
        <is>
          <t>P</t>
        </is>
      </c>
      <c r="AD61" s="89" t="inlineStr">
        <is>
          <t>P</t>
        </is>
      </c>
      <c r="AE61" s="89" t="inlineStr">
        <is>
          <t>P</t>
        </is>
      </c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8">
        <f>IF($A62="","",'Employee Master'!C62)</f>
        <v/>
      </c>
      <c r="D62" s="89" t="inlineStr">
        <is>
          <t>P</t>
        </is>
      </c>
      <c r="E62" s="89" t="inlineStr">
        <is>
          <t>P</t>
        </is>
      </c>
      <c r="F62" s="89" t="inlineStr">
        <is>
          <t>P</t>
        </is>
      </c>
      <c r="G62" s="89" t="inlineStr">
        <is>
          <t>P</t>
        </is>
      </c>
      <c r="H62" s="89" t="inlineStr">
        <is>
          <t>P</t>
        </is>
      </c>
      <c r="I62" s="89" t="inlineStr">
        <is>
          <t>P</t>
        </is>
      </c>
      <c r="J62" s="89" t="inlineStr">
        <is>
          <t>P</t>
        </is>
      </c>
      <c r="K62" s="89" t="inlineStr">
        <is>
          <t>P</t>
        </is>
      </c>
      <c r="L62" s="89" t="inlineStr">
        <is>
          <t>P</t>
        </is>
      </c>
      <c r="M62" s="89" t="inlineStr">
        <is>
          <t>P</t>
        </is>
      </c>
      <c r="N62" s="89" t="inlineStr">
        <is>
          <t>P</t>
        </is>
      </c>
      <c r="O62" s="89" t="inlineStr">
        <is>
          <t>P</t>
        </is>
      </c>
      <c r="P62" s="89" t="inlineStr">
        <is>
          <t>P</t>
        </is>
      </c>
      <c r="Q62" s="89" t="inlineStr">
        <is>
          <t>P</t>
        </is>
      </c>
      <c r="R62" s="89" t="inlineStr">
        <is>
          <t>P</t>
        </is>
      </c>
      <c r="S62" s="89" t="inlineStr">
        <is>
          <t>P</t>
        </is>
      </c>
      <c r="T62" s="89" t="inlineStr">
        <is>
          <t>P</t>
        </is>
      </c>
      <c r="U62" s="89" t="inlineStr">
        <is>
          <t>P</t>
        </is>
      </c>
      <c r="V62" s="89" t="inlineStr">
        <is>
          <t>P</t>
        </is>
      </c>
      <c r="W62" s="89" t="inlineStr">
        <is>
          <t>P</t>
        </is>
      </c>
      <c r="X62" s="89" t="inlineStr">
        <is>
          <t>P</t>
        </is>
      </c>
      <c r="Y62" s="89" t="inlineStr">
        <is>
          <t>P</t>
        </is>
      </c>
      <c r="Z62" s="121" t="inlineStr">
        <is>
          <t>UA</t>
        </is>
      </c>
      <c r="AA62" s="121" t="inlineStr">
        <is>
          <t>UA</t>
        </is>
      </c>
      <c r="AB62" s="121" t="inlineStr">
        <is>
          <t>UA</t>
        </is>
      </c>
      <c r="AC62" s="121" t="inlineStr">
        <is>
          <t>UA</t>
        </is>
      </c>
      <c r="AD62" s="121" t="inlineStr">
        <is>
          <t>UA</t>
        </is>
      </c>
      <c r="AE62" s="89" t="inlineStr">
        <is>
          <t>P</t>
        </is>
      </c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8">
        <f>IF($A63="","",'Employee Master'!C63)</f>
        <v/>
      </c>
      <c r="D63" s="89" t="inlineStr">
        <is>
          <t>P</t>
        </is>
      </c>
      <c r="E63" s="89" t="inlineStr">
        <is>
          <t>P</t>
        </is>
      </c>
      <c r="F63" s="89" t="inlineStr">
        <is>
          <t>P</t>
        </is>
      </c>
      <c r="G63" s="89" t="inlineStr">
        <is>
          <t>P</t>
        </is>
      </c>
      <c r="H63" s="89" t="inlineStr">
        <is>
          <t>P</t>
        </is>
      </c>
      <c r="I63" s="89" t="inlineStr">
        <is>
          <t>P</t>
        </is>
      </c>
      <c r="J63" s="89" t="inlineStr">
        <is>
          <t>P</t>
        </is>
      </c>
      <c r="K63" s="89" t="inlineStr">
        <is>
          <t>P</t>
        </is>
      </c>
      <c r="L63" s="89" t="inlineStr">
        <is>
          <t>P</t>
        </is>
      </c>
      <c r="M63" s="89" t="inlineStr">
        <is>
          <t>P</t>
        </is>
      </c>
      <c r="N63" s="89" t="inlineStr">
        <is>
          <t>P</t>
        </is>
      </c>
      <c r="O63" s="89" t="inlineStr">
        <is>
          <t>P</t>
        </is>
      </c>
      <c r="P63" s="89" t="inlineStr">
        <is>
          <t>P</t>
        </is>
      </c>
      <c r="Q63" s="89" t="inlineStr">
        <is>
          <t>P</t>
        </is>
      </c>
      <c r="R63" s="89" t="inlineStr">
        <is>
          <t>P</t>
        </is>
      </c>
      <c r="S63" s="121" t="inlineStr">
        <is>
          <t>UA</t>
        </is>
      </c>
      <c r="T63" s="121" t="inlineStr">
        <is>
          <t>UA</t>
        </is>
      </c>
      <c r="U63" s="121" t="inlineStr">
        <is>
          <t>UA</t>
        </is>
      </c>
      <c r="V63" s="121" t="inlineStr">
        <is>
          <t>UA</t>
        </is>
      </c>
      <c r="W63" s="121" t="inlineStr">
        <is>
          <t>UA</t>
        </is>
      </c>
      <c r="X63" s="121" t="inlineStr">
        <is>
          <t>UA</t>
        </is>
      </c>
      <c r="Y63" s="121" t="inlineStr">
        <is>
          <t>UA</t>
        </is>
      </c>
      <c r="Z63" s="121" t="inlineStr">
        <is>
          <t>UA</t>
        </is>
      </c>
      <c r="AA63" s="121" t="inlineStr">
        <is>
          <t>UA</t>
        </is>
      </c>
      <c r="AB63" s="121" t="inlineStr">
        <is>
          <t>UA</t>
        </is>
      </c>
      <c r="AC63" s="121" t="inlineStr">
        <is>
          <t>UA</t>
        </is>
      </c>
      <c r="AD63" s="121" t="inlineStr">
        <is>
          <t>UA</t>
        </is>
      </c>
      <c r="AE63" s="121" t="inlineStr">
        <is>
          <t>UA</t>
        </is>
      </c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8">
        <f>IF($A64="","",'Employee Master'!C64)</f>
        <v/>
      </c>
      <c r="D64" s="89" t="inlineStr">
        <is>
          <t>P</t>
        </is>
      </c>
      <c r="E64" s="89" t="inlineStr">
        <is>
          <t>P</t>
        </is>
      </c>
      <c r="F64" s="89" t="inlineStr">
        <is>
          <t>P</t>
        </is>
      </c>
      <c r="G64" s="89" t="inlineStr">
        <is>
          <t>P</t>
        </is>
      </c>
      <c r="H64" s="121" t="inlineStr">
        <is>
          <t>UA</t>
        </is>
      </c>
      <c r="I64" s="89" t="inlineStr">
        <is>
          <t>P</t>
        </is>
      </c>
      <c r="J64" s="89" t="inlineStr">
        <is>
          <t>P</t>
        </is>
      </c>
      <c r="K64" s="89" t="inlineStr">
        <is>
          <t>P</t>
        </is>
      </c>
      <c r="L64" s="89" t="inlineStr">
        <is>
          <t>P</t>
        </is>
      </c>
      <c r="M64" s="89" t="inlineStr">
        <is>
          <t>P</t>
        </is>
      </c>
      <c r="N64" s="89" t="inlineStr">
        <is>
          <t>P</t>
        </is>
      </c>
      <c r="O64" s="89" t="inlineStr">
        <is>
          <t>P</t>
        </is>
      </c>
      <c r="P64" s="121" t="inlineStr">
        <is>
          <t>UA</t>
        </is>
      </c>
      <c r="Q64" s="121" t="inlineStr">
        <is>
          <t>UA</t>
        </is>
      </c>
      <c r="R64" s="121" t="inlineStr">
        <is>
          <t>UA</t>
        </is>
      </c>
      <c r="S64" s="121" t="inlineStr">
        <is>
          <t>UA</t>
        </is>
      </c>
      <c r="T64" s="121" t="inlineStr">
        <is>
          <t>UA</t>
        </is>
      </c>
      <c r="U64" s="121" t="inlineStr">
        <is>
          <t>UA</t>
        </is>
      </c>
      <c r="V64" s="121" t="inlineStr">
        <is>
          <t>UA</t>
        </is>
      </c>
      <c r="W64" s="121" t="inlineStr">
        <is>
          <t>UA</t>
        </is>
      </c>
      <c r="X64" s="121" t="inlineStr">
        <is>
          <t>UA</t>
        </is>
      </c>
      <c r="Y64" s="121" t="inlineStr">
        <is>
          <t>UA</t>
        </is>
      </c>
      <c r="Z64" s="89" t="inlineStr">
        <is>
          <t>P</t>
        </is>
      </c>
      <c r="AA64" s="89" t="inlineStr">
        <is>
          <t>P</t>
        </is>
      </c>
      <c r="AB64" s="89" t="inlineStr">
        <is>
          <t>P</t>
        </is>
      </c>
      <c r="AC64" s="89" t="inlineStr">
        <is>
          <t>P</t>
        </is>
      </c>
      <c r="AD64" s="89" t="inlineStr">
        <is>
          <t>P</t>
        </is>
      </c>
      <c r="AE64" s="89" t="inlineStr">
        <is>
          <t>P</t>
        </is>
      </c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8">
        <f>IF($A65="","",'Employee Master'!C65)</f>
        <v/>
      </c>
      <c r="D65" s="89" t="inlineStr">
        <is>
          <t>P</t>
        </is>
      </c>
      <c r="E65" s="121" t="inlineStr">
        <is>
          <t>UA</t>
        </is>
      </c>
      <c r="F65" s="89" t="inlineStr">
        <is>
          <t>P</t>
        </is>
      </c>
      <c r="G65" s="89" t="inlineStr">
        <is>
          <t>P</t>
        </is>
      </c>
      <c r="H65" s="121" t="inlineStr">
        <is>
          <t>UA</t>
        </is>
      </c>
      <c r="I65" s="121" t="inlineStr">
        <is>
          <t>UA</t>
        </is>
      </c>
      <c r="J65" s="89" t="inlineStr">
        <is>
          <t>P</t>
        </is>
      </c>
      <c r="K65" s="89" t="inlineStr">
        <is>
          <t>P</t>
        </is>
      </c>
      <c r="L65" s="121" t="inlineStr">
        <is>
          <t>UA</t>
        </is>
      </c>
      <c r="M65" s="121" t="inlineStr">
        <is>
          <t>UA</t>
        </is>
      </c>
      <c r="N65" s="89" t="inlineStr">
        <is>
          <t>P</t>
        </is>
      </c>
      <c r="O65" s="121" t="inlineStr">
        <is>
          <t>UA</t>
        </is>
      </c>
      <c r="P65" s="89" t="inlineStr">
        <is>
          <t>P</t>
        </is>
      </c>
      <c r="Q65" s="89" t="inlineStr">
        <is>
          <t>P</t>
        </is>
      </c>
      <c r="R65" s="89" t="inlineStr">
        <is>
          <t>P</t>
        </is>
      </c>
      <c r="S65" s="89" t="inlineStr">
        <is>
          <t>P</t>
        </is>
      </c>
      <c r="T65" s="89" t="inlineStr">
        <is>
          <t>P</t>
        </is>
      </c>
      <c r="U65" s="89" t="inlineStr">
        <is>
          <t>P</t>
        </is>
      </c>
      <c r="V65" s="89" t="inlineStr">
        <is>
          <t>P</t>
        </is>
      </c>
      <c r="W65" s="89" t="inlineStr">
        <is>
          <t>P</t>
        </is>
      </c>
      <c r="X65" s="89" t="inlineStr">
        <is>
          <t>P</t>
        </is>
      </c>
      <c r="Y65" s="89" t="inlineStr">
        <is>
          <t>P</t>
        </is>
      </c>
      <c r="Z65" s="89" t="inlineStr">
        <is>
          <t>P</t>
        </is>
      </c>
      <c r="AA65" s="89" t="inlineStr">
        <is>
          <t>P</t>
        </is>
      </c>
      <c r="AB65" s="89" t="inlineStr">
        <is>
          <t>P</t>
        </is>
      </c>
      <c r="AC65" s="89" t="inlineStr">
        <is>
          <t>P</t>
        </is>
      </c>
      <c r="AD65" s="121" t="inlineStr">
        <is>
          <t>UA</t>
        </is>
      </c>
      <c r="AE65" s="89" t="inlineStr">
        <is>
          <t>P</t>
        </is>
      </c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8">
        <f>IF($A66="","",'Employee Master'!C66)</f>
        <v/>
      </c>
      <c r="D66" s="89" t="inlineStr">
        <is>
          <t>P</t>
        </is>
      </c>
      <c r="E66" s="89" t="inlineStr">
        <is>
          <t>P</t>
        </is>
      </c>
      <c r="F66" s="89" t="inlineStr">
        <is>
          <t>P</t>
        </is>
      </c>
      <c r="G66" s="89" t="inlineStr">
        <is>
          <t>P</t>
        </is>
      </c>
      <c r="H66" s="89" t="inlineStr">
        <is>
          <t>P</t>
        </is>
      </c>
      <c r="I66" s="89" t="inlineStr">
        <is>
          <t>P</t>
        </is>
      </c>
      <c r="J66" s="89" t="inlineStr">
        <is>
          <t>P</t>
        </is>
      </c>
      <c r="K66" s="89" t="inlineStr">
        <is>
          <t>P</t>
        </is>
      </c>
      <c r="L66" s="89" t="inlineStr">
        <is>
          <t>P</t>
        </is>
      </c>
      <c r="M66" s="121" t="inlineStr">
        <is>
          <t>UA</t>
        </is>
      </c>
      <c r="N66" s="89" t="inlineStr">
        <is>
          <t>P</t>
        </is>
      </c>
      <c r="O66" s="89" t="inlineStr">
        <is>
          <t>P</t>
        </is>
      </c>
      <c r="P66" s="89" t="inlineStr">
        <is>
          <t>P</t>
        </is>
      </c>
      <c r="Q66" s="89" t="inlineStr">
        <is>
          <t>P</t>
        </is>
      </c>
      <c r="R66" s="89" t="inlineStr">
        <is>
          <t>P</t>
        </is>
      </c>
      <c r="S66" s="89" t="inlineStr">
        <is>
          <t>P</t>
        </is>
      </c>
      <c r="T66" s="89" t="inlineStr">
        <is>
          <t>P</t>
        </is>
      </c>
      <c r="U66" s="89" t="inlineStr">
        <is>
          <t>P</t>
        </is>
      </c>
      <c r="V66" s="89" t="inlineStr">
        <is>
          <t>P</t>
        </is>
      </c>
      <c r="W66" s="89" t="inlineStr">
        <is>
          <t>P</t>
        </is>
      </c>
      <c r="X66" s="89" t="inlineStr">
        <is>
          <t>P</t>
        </is>
      </c>
      <c r="Y66" s="89" t="inlineStr">
        <is>
          <t>P</t>
        </is>
      </c>
      <c r="Z66" s="89" t="inlineStr">
        <is>
          <t>P</t>
        </is>
      </c>
      <c r="AA66" s="89" t="inlineStr">
        <is>
          <t>P</t>
        </is>
      </c>
      <c r="AB66" s="89" t="inlineStr">
        <is>
          <t>P</t>
        </is>
      </c>
      <c r="AC66" s="89" t="inlineStr">
        <is>
          <t>P</t>
        </is>
      </c>
      <c r="AD66" s="89" t="inlineStr">
        <is>
          <t>P</t>
        </is>
      </c>
      <c r="AE66" s="89" t="inlineStr">
        <is>
          <t>P</t>
        </is>
      </c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8">
        <f>IF($A67="","",'Employee Master'!C67)</f>
        <v/>
      </c>
      <c r="D67" s="89" t="inlineStr">
        <is>
          <t>P</t>
        </is>
      </c>
      <c r="E67" s="89" t="inlineStr">
        <is>
          <t>P</t>
        </is>
      </c>
      <c r="F67" s="89" t="inlineStr">
        <is>
          <t>P</t>
        </is>
      </c>
      <c r="G67" s="89" t="inlineStr">
        <is>
          <t>P</t>
        </is>
      </c>
      <c r="H67" s="89" t="inlineStr">
        <is>
          <t>P</t>
        </is>
      </c>
      <c r="I67" s="89" t="inlineStr">
        <is>
          <t>P</t>
        </is>
      </c>
      <c r="J67" s="89" t="inlineStr">
        <is>
          <t>P</t>
        </is>
      </c>
      <c r="K67" s="89" t="inlineStr">
        <is>
          <t>P</t>
        </is>
      </c>
      <c r="L67" s="89" t="inlineStr">
        <is>
          <t>P</t>
        </is>
      </c>
      <c r="M67" s="89" t="inlineStr">
        <is>
          <t>P</t>
        </is>
      </c>
      <c r="N67" s="89" t="inlineStr">
        <is>
          <t>P</t>
        </is>
      </c>
      <c r="O67" s="89" t="inlineStr">
        <is>
          <t>P</t>
        </is>
      </c>
      <c r="P67" s="89" t="inlineStr">
        <is>
          <t>P</t>
        </is>
      </c>
      <c r="Q67" s="89" t="inlineStr">
        <is>
          <t>P</t>
        </is>
      </c>
      <c r="R67" s="89" t="inlineStr">
        <is>
          <t>P</t>
        </is>
      </c>
      <c r="S67" s="89" t="inlineStr">
        <is>
          <t>P</t>
        </is>
      </c>
      <c r="T67" s="89" t="inlineStr">
        <is>
          <t>P</t>
        </is>
      </c>
      <c r="U67" s="89" t="inlineStr">
        <is>
          <t>P</t>
        </is>
      </c>
      <c r="V67" s="89" t="inlineStr">
        <is>
          <t>P</t>
        </is>
      </c>
      <c r="W67" s="89" t="inlineStr">
        <is>
          <t>P</t>
        </is>
      </c>
      <c r="X67" s="89" t="inlineStr">
        <is>
          <t>P</t>
        </is>
      </c>
      <c r="Y67" s="89" t="inlineStr">
        <is>
          <t>P</t>
        </is>
      </c>
      <c r="Z67" s="89" t="inlineStr">
        <is>
          <t>P</t>
        </is>
      </c>
      <c r="AA67" s="89" t="inlineStr">
        <is>
          <t>P</t>
        </is>
      </c>
      <c r="AB67" s="89" t="inlineStr">
        <is>
          <t>P</t>
        </is>
      </c>
      <c r="AC67" s="89" t="inlineStr">
        <is>
          <t>P</t>
        </is>
      </c>
      <c r="AD67" s="89" t="inlineStr">
        <is>
          <t>P</t>
        </is>
      </c>
      <c r="AE67" s="89" t="inlineStr">
        <is>
          <t>P</t>
        </is>
      </c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8">
        <f>IF($A68="","",'Employee Master'!C68)</f>
        <v/>
      </c>
      <c r="D68" s="89" t="inlineStr">
        <is>
          <t>P</t>
        </is>
      </c>
      <c r="E68" s="89" t="inlineStr">
        <is>
          <t>P</t>
        </is>
      </c>
      <c r="F68" s="89" t="inlineStr">
        <is>
          <t>P</t>
        </is>
      </c>
      <c r="G68" s="89" t="inlineStr">
        <is>
          <t>P</t>
        </is>
      </c>
      <c r="H68" s="89" t="inlineStr">
        <is>
          <t>P</t>
        </is>
      </c>
      <c r="I68" s="89" t="inlineStr">
        <is>
          <t>P</t>
        </is>
      </c>
      <c r="J68" s="89" t="inlineStr">
        <is>
          <t>P</t>
        </is>
      </c>
      <c r="K68" s="89" t="inlineStr">
        <is>
          <t>P</t>
        </is>
      </c>
      <c r="L68" s="89" t="inlineStr">
        <is>
          <t>P</t>
        </is>
      </c>
      <c r="M68" s="89" t="inlineStr">
        <is>
          <t>P</t>
        </is>
      </c>
      <c r="N68" s="89" t="inlineStr">
        <is>
          <t>P</t>
        </is>
      </c>
      <c r="O68" s="89" t="inlineStr">
        <is>
          <t>P</t>
        </is>
      </c>
      <c r="P68" s="89" t="inlineStr">
        <is>
          <t>P</t>
        </is>
      </c>
      <c r="Q68" s="89" t="inlineStr">
        <is>
          <t>P</t>
        </is>
      </c>
      <c r="R68" s="89" t="inlineStr">
        <is>
          <t>P</t>
        </is>
      </c>
      <c r="S68" s="89" t="inlineStr">
        <is>
          <t>P</t>
        </is>
      </c>
      <c r="T68" s="89" t="inlineStr">
        <is>
          <t>P</t>
        </is>
      </c>
      <c r="U68" s="89" t="inlineStr">
        <is>
          <t>P</t>
        </is>
      </c>
      <c r="V68" s="89" t="inlineStr">
        <is>
          <t>P</t>
        </is>
      </c>
      <c r="W68" s="89" t="inlineStr">
        <is>
          <t>P</t>
        </is>
      </c>
      <c r="X68" s="89" t="inlineStr">
        <is>
          <t>P</t>
        </is>
      </c>
      <c r="Y68" s="89" t="inlineStr">
        <is>
          <t>P</t>
        </is>
      </c>
      <c r="Z68" s="89" t="inlineStr">
        <is>
          <t>P</t>
        </is>
      </c>
      <c r="AA68" s="89" t="inlineStr">
        <is>
          <t>P</t>
        </is>
      </c>
      <c r="AB68" s="89" t="inlineStr">
        <is>
          <t>P</t>
        </is>
      </c>
      <c r="AC68" s="89" t="inlineStr">
        <is>
          <t>P</t>
        </is>
      </c>
      <c r="AD68" s="89" t="inlineStr">
        <is>
          <t>P</t>
        </is>
      </c>
      <c r="AE68" s="89" t="inlineStr">
        <is>
          <t>P</t>
        </is>
      </c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8">
        <f>IF($A69="","",'Employee Master'!C69)</f>
        <v/>
      </c>
      <c r="D69" s="89" t="inlineStr">
        <is>
          <t>P</t>
        </is>
      </c>
      <c r="E69" s="89" t="inlineStr">
        <is>
          <t>P</t>
        </is>
      </c>
      <c r="F69" s="89" t="inlineStr">
        <is>
          <t>P</t>
        </is>
      </c>
      <c r="G69" s="89" t="inlineStr">
        <is>
          <t>P</t>
        </is>
      </c>
      <c r="H69" s="89" t="inlineStr">
        <is>
          <t>P</t>
        </is>
      </c>
      <c r="I69" s="89" t="inlineStr">
        <is>
          <t>P</t>
        </is>
      </c>
      <c r="J69" s="89" t="inlineStr">
        <is>
          <t>P</t>
        </is>
      </c>
      <c r="K69" s="89" t="inlineStr">
        <is>
          <t>P</t>
        </is>
      </c>
      <c r="L69" s="89" t="inlineStr">
        <is>
          <t>P</t>
        </is>
      </c>
      <c r="M69" s="89" t="inlineStr">
        <is>
          <t>P</t>
        </is>
      </c>
      <c r="N69" s="89" t="inlineStr">
        <is>
          <t>P</t>
        </is>
      </c>
      <c r="O69" s="89" t="inlineStr">
        <is>
          <t>P</t>
        </is>
      </c>
      <c r="P69" s="89" t="inlineStr">
        <is>
          <t>P</t>
        </is>
      </c>
      <c r="Q69" s="89" t="inlineStr">
        <is>
          <t>P</t>
        </is>
      </c>
      <c r="R69" s="89" t="inlineStr">
        <is>
          <t>P</t>
        </is>
      </c>
      <c r="S69" s="89" t="inlineStr">
        <is>
          <t>P</t>
        </is>
      </c>
      <c r="T69" s="89" t="inlineStr">
        <is>
          <t>P</t>
        </is>
      </c>
      <c r="U69" s="89" t="inlineStr">
        <is>
          <t>P</t>
        </is>
      </c>
      <c r="V69" s="89" t="inlineStr">
        <is>
          <t>P</t>
        </is>
      </c>
      <c r="W69" s="89" t="inlineStr">
        <is>
          <t>P</t>
        </is>
      </c>
      <c r="X69" s="89" t="inlineStr">
        <is>
          <t>P</t>
        </is>
      </c>
      <c r="Y69" s="89" t="inlineStr">
        <is>
          <t>P</t>
        </is>
      </c>
      <c r="Z69" s="89" t="inlineStr">
        <is>
          <t>P</t>
        </is>
      </c>
      <c r="AA69" s="89" t="inlineStr">
        <is>
          <t>P</t>
        </is>
      </c>
      <c r="AB69" s="89" t="inlineStr">
        <is>
          <t>P</t>
        </is>
      </c>
      <c r="AC69" s="89" t="inlineStr">
        <is>
          <t>P</t>
        </is>
      </c>
      <c r="AD69" s="89" t="inlineStr">
        <is>
          <t>P</t>
        </is>
      </c>
      <c r="AE69" s="89" t="inlineStr">
        <is>
          <t>P</t>
        </is>
      </c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8">
        <f>IF($A70="","",'Employee Master'!C70)</f>
        <v/>
      </c>
      <c r="D70" s="121" t="inlineStr">
        <is>
          <t>UA</t>
        </is>
      </c>
      <c r="E70" s="121" t="inlineStr">
        <is>
          <t>UA</t>
        </is>
      </c>
      <c r="F70" s="121" t="inlineStr">
        <is>
          <t>UA</t>
        </is>
      </c>
      <c r="G70" s="121" t="inlineStr">
        <is>
          <t>UA</t>
        </is>
      </c>
      <c r="H70" s="89" t="inlineStr">
        <is>
          <t>P</t>
        </is>
      </c>
      <c r="I70" s="89" t="inlineStr">
        <is>
          <t>P</t>
        </is>
      </c>
      <c r="J70" s="89" t="inlineStr">
        <is>
          <t>P</t>
        </is>
      </c>
      <c r="K70" s="89" t="inlineStr">
        <is>
          <t>P</t>
        </is>
      </c>
      <c r="L70" s="89" t="inlineStr">
        <is>
          <t>P</t>
        </is>
      </c>
      <c r="M70" s="89" t="inlineStr">
        <is>
          <t>P</t>
        </is>
      </c>
      <c r="N70" s="89" t="inlineStr">
        <is>
          <t>P</t>
        </is>
      </c>
      <c r="O70" s="89" t="inlineStr">
        <is>
          <t>P</t>
        </is>
      </c>
      <c r="P70" s="89" t="inlineStr">
        <is>
          <t>P</t>
        </is>
      </c>
      <c r="Q70" s="89" t="inlineStr">
        <is>
          <t>P</t>
        </is>
      </c>
      <c r="R70" s="89" t="inlineStr">
        <is>
          <t>P</t>
        </is>
      </c>
      <c r="S70" s="89" t="inlineStr">
        <is>
          <t>P</t>
        </is>
      </c>
      <c r="T70" s="89" t="inlineStr">
        <is>
          <t>P</t>
        </is>
      </c>
      <c r="U70" s="89" t="inlineStr">
        <is>
          <t>P</t>
        </is>
      </c>
      <c r="V70" s="89" t="inlineStr">
        <is>
          <t>P</t>
        </is>
      </c>
      <c r="W70" s="89" t="inlineStr">
        <is>
          <t>P</t>
        </is>
      </c>
      <c r="X70" s="89" t="inlineStr">
        <is>
          <t>P</t>
        </is>
      </c>
      <c r="Y70" s="89" t="inlineStr">
        <is>
          <t>P</t>
        </is>
      </c>
      <c r="Z70" s="89" t="inlineStr">
        <is>
          <t>P</t>
        </is>
      </c>
      <c r="AA70" s="89" t="inlineStr">
        <is>
          <t>P</t>
        </is>
      </c>
      <c r="AB70" s="89" t="inlineStr">
        <is>
          <t>P</t>
        </is>
      </c>
      <c r="AC70" s="89" t="inlineStr">
        <is>
          <t>P</t>
        </is>
      </c>
      <c r="AD70" s="89" t="inlineStr">
        <is>
          <t>P</t>
        </is>
      </c>
      <c r="AE70" s="89" t="inlineStr">
        <is>
          <t>P</t>
        </is>
      </c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8">
        <f>IF($A71="","",'Employee Master'!C71)</f>
        <v/>
      </c>
      <c r="D71" s="89" t="inlineStr">
        <is>
          <t>P</t>
        </is>
      </c>
      <c r="E71" s="89" t="inlineStr">
        <is>
          <t>P</t>
        </is>
      </c>
      <c r="F71" s="89" t="inlineStr">
        <is>
          <t>P</t>
        </is>
      </c>
      <c r="G71" s="89" t="inlineStr">
        <is>
          <t>P</t>
        </is>
      </c>
      <c r="H71" s="89" t="inlineStr">
        <is>
          <t>P</t>
        </is>
      </c>
      <c r="I71" s="89" t="inlineStr">
        <is>
          <t>P</t>
        </is>
      </c>
      <c r="J71" s="89" t="inlineStr">
        <is>
          <t>P</t>
        </is>
      </c>
      <c r="K71" s="89" t="inlineStr">
        <is>
          <t>P</t>
        </is>
      </c>
      <c r="L71" s="89" t="inlineStr">
        <is>
          <t>P</t>
        </is>
      </c>
      <c r="M71" s="89" t="inlineStr">
        <is>
          <t>P</t>
        </is>
      </c>
      <c r="N71" s="89" t="inlineStr">
        <is>
          <t>P</t>
        </is>
      </c>
      <c r="O71" s="89" t="inlineStr">
        <is>
          <t>P</t>
        </is>
      </c>
      <c r="P71" s="89" t="inlineStr">
        <is>
          <t>P</t>
        </is>
      </c>
      <c r="Q71" s="89" t="inlineStr">
        <is>
          <t>P</t>
        </is>
      </c>
      <c r="R71" s="89" t="inlineStr">
        <is>
          <t>P</t>
        </is>
      </c>
      <c r="S71" s="89" t="inlineStr">
        <is>
          <t>P</t>
        </is>
      </c>
      <c r="T71" s="89" t="inlineStr">
        <is>
          <t>P</t>
        </is>
      </c>
      <c r="U71" s="89" t="inlineStr">
        <is>
          <t>P</t>
        </is>
      </c>
      <c r="V71" s="89" t="inlineStr">
        <is>
          <t>P</t>
        </is>
      </c>
      <c r="W71" s="89" t="inlineStr">
        <is>
          <t>P</t>
        </is>
      </c>
      <c r="X71" s="89" t="inlineStr">
        <is>
          <t>P</t>
        </is>
      </c>
      <c r="Y71" s="89" t="inlineStr">
        <is>
          <t>P</t>
        </is>
      </c>
      <c r="Z71" s="89" t="inlineStr">
        <is>
          <t>P</t>
        </is>
      </c>
      <c r="AA71" s="89" t="inlineStr">
        <is>
          <t>P</t>
        </is>
      </c>
      <c r="AB71" s="89" t="inlineStr">
        <is>
          <t>P</t>
        </is>
      </c>
      <c r="AC71" s="89" t="inlineStr">
        <is>
          <t>P</t>
        </is>
      </c>
      <c r="AD71" s="89" t="inlineStr">
        <is>
          <t>P</t>
        </is>
      </c>
      <c r="AE71" s="89" t="inlineStr">
        <is>
          <t>P</t>
        </is>
      </c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8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8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8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8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8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8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8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8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8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8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8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8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8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8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8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8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8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8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8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8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8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8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8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8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8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8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8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8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8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8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8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8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8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8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8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8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55" activePane="bottomRight" state="frozen"/>
      <selection pane="topLeft" activeCell="A1" activeCellId="0" sqref="A1"/>
      <selection pane="topRight" activeCell="D1" activeCellId="0" sqref="D1"/>
      <selection pane="bottomLeft" activeCell="A55" activeCellId="0" sqref="A55"/>
      <selection pane="bottomRight" activeCell="X59" activeCellId="0" sqref="X59"/>
    </sheetView>
  </sheetViews>
  <sheetFormatPr baseColWidth="8" defaultRowHeight="14.45" zeroHeight="0" outlineLevelRow="0"/>
  <cols>
    <col width="25" customWidth="1" style="56" min="1" max="1"/>
    <col width="26.29" customWidth="1" style="56" min="2" max="2"/>
    <col width="19.99" customWidth="1" style="56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6.01" customWidth="1" style="56" min="48" max="48"/>
    <col width="32.42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March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Panel'!$B$3,3,1)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56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28.9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56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5.6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56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56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8">
        <f>IF($A8="","",'Employee Master'!C8)</f>
        <v/>
      </c>
      <c r="D8" s="121" t="inlineStr">
        <is>
          <t>UA</t>
        </is>
      </c>
      <c r="E8" s="121" t="inlineStr">
        <is>
          <t>UA</t>
        </is>
      </c>
      <c r="F8" s="121" t="inlineStr">
        <is>
          <t>UA</t>
        </is>
      </c>
      <c r="G8" s="121" t="inlineStr">
        <is>
          <t>UA</t>
        </is>
      </c>
      <c r="H8" s="121" t="inlineStr">
        <is>
          <t>UA</t>
        </is>
      </c>
      <c r="I8" s="121" t="inlineStr">
        <is>
          <t>UA</t>
        </is>
      </c>
      <c r="J8" s="121" t="inlineStr">
        <is>
          <t>UA</t>
        </is>
      </c>
      <c r="K8" s="121" t="inlineStr">
        <is>
          <t>UA</t>
        </is>
      </c>
      <c r="L8" s="121" t="inlineStr">
        <is>
          <t>UA</t>
        </is>
      </c>
      <c r="M8" s="121" t="inlineStr">
        <is>
          <t>UA</t>
        </is>
      </c>
      <c r="N8" s="121" t="inlineStr">
        <is>
          <t>UA</t>
        </is>
      </c>
      <c r="O8" s="89" t="inlineStr">
        <is>
          <t>P</t>
        </is>
      </c>
      <c r="P8" s="89" t="inlineStr">
        <is>
          <t>P</t>
        </is>
      </c>
      <c r="Q8" s="89" t="inlineStr">
        <is>
          <t>P</t>
        </is>
      </c>
      <c r="R8" s="89" t="inlineStr">
        <is>
          <t>P</t>
        </is>
      </c>
      <c r="S8" s="89" t="inlineStr">
        <is>
          <t>P</t>
        </is>
      </c>
      <c r="T8" s="89" t="inlineStr">
        <is>
          <t>P</t>
        </is>
      </c>
      <c r="U8" s="89" t="inlineStr">
        <is>
          <t>P</t>
        </is>
      </c>
      <c r="V8" s="89" t="inlineStr">
        <is>
          <t>P</t>
        </is>
      </c>
      <c r="W8" s="89" t="inlineStr">
        <is>
          <t>P</t>
        </is>
      </c>
      <c r="X8" s="89" t="inlineStr">
        <is>
          <t>P</t>
        </is>
      </c>
      <c r="Y8" s="89" t="inlineStr">
        <is>
          <t>P</t>
        </is>
      </c>
      <c r="Z8" s="89" t="inlineStr">
        <is>
          <t>P</t>
        </is>
      </c>
      <c r="AA8" s="89" t="inlineStr">
        <is>
          <t>P</t>
        </is>
      </c>
      <c r="AB8" s="89" t="inlineStr">
        <is>
          <t>P</t>
        </is>
      </c>
      <c r="AC8" s="89" t="inlineStr">
        <is>
          <t>P</t>
        </is>
      </c>
      <c r="AD8" s="89" t="inlineStr">
        <is>
          <t>P</t>
        </is>
      </c>
      <c r="AE8" s="89" t="inlineStr">
        <is>
          <t>P</t>
        </is>
      </c>
      <c r="AF8" s="89" t="inlineStr">
        <is>
          <t>P</t>
        </is>
      </c>
      <c r="AG8" s="89" t="inlineStr">
        <is>
          <t>P</t>
        </is>
      </c>
      <c r="AH8" s="89" t="inlineStr">
        <is>
          <t>P</t>
        </is>
      </c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56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8">
        <f>IF($A9="","",'Employee Master'!C9)</f>
        <v/>
      </c>
      <c r="D9" s="89" t="inlineStr">
        <is>
          <t>P</t>
        </is>
      </c>
      <c r="E9" s="89" t="inlineStr">
        <is>
          <t>P</t>
        </is>
      </c>
      <c r="F9" s="89" t="inlineStr">
        <is>
          <t>P</t>
        </is>
      </c>
      <c r="G9" s="89" t="inlineStr">
        <is>
          <t>P</t>
        </is>
      </c>
      <c r="H9" s="89" t="inlineStr">
        <is>
          <t>P</t>
        </is>
      </c>
      <c r="I9" s="89" t="inlineStr">
        <is>
          <t>P</t>
        </is>
      </c>
      <c r="J9" s="89" t="inlineStr">
        <is>
          <t>P</t>
        </is>
      </c>
      <c r="K9" s="89" t="inlineStr">
        <is>
          <t>P</t>
        </is>
      </c>
      <c r="L9" s="121" t="inlineStr">
        <is>
          <t>UA</t>
        </is>
      </c>
      <c r="M9" s="121" t="inlineStr">
        <is>
          <t>UA</t>
        </is>
      </c>
      <c r="N9" s="121" t="inlineStr">
        <is>
          <t>UA</t>
        </is>
      </c>
      <c r="O9" s="121" t="inlineStr">
        <is>
          <t>UA</t>
        </is>
      </c>
      <c r="P9" s="121" t="inlineStr">
        <is>
          <t>UA</t>
        </is>
      </c>
      <c r="Q9" s="121" t="inlineStr">
        <is>
          <t>UA</t>
        </is>
      </c>
      <c r="R9" s="121" t="inlineStr">
        <is>
          <t>UA</t>
        </is>
      </c>
      <c r="S9" s="121" t="inlineStr">
        <is>
          <t>UA</t>
        </is>
      </c>
      <c r="T9" s="121" t="inlineStr">
        <is>
          <t>UA</t>
        </is>
      </c>
      <c r="U9" s="121" t="inlineStr">
        <is>
          <t>UA</t>
        </is>
      </c>
      <c r="V9" s="89" t="inlineStr">
        <is>
          <t>P</t>
        </is>
      </c>
      <c r="W9" s="89" t="inlineStr">
        <is>
          <t>P</t>
        </is>
      </c>
      <c r="X9" s="89" t="inlineStr">
        <is>
          <t>P</t>
        </is>
      </c>
      <c r="Y9" s="89" t="inlineStr">
        <is>
          <t>P</t>
        </is>
      </c>
      <c r="Z9" s="89" t="inlineStr">
        <is>
          <t>P</t>
        </is>
      </c>
      <c r="AA9" s="89" t="inlineStr">
        <is>
          <t>P</t>
        </is>
      </c>
      <c r="AB9" s="89" t="inlineStr">
        <is>
          <t>P</t>
        </is>
      </c>
      <c r="AC9" s="89" t="inlineStr">
        <is>
          <t>P</t>
        </is>
      </c>
      <c r="AD9" s="89" t="inlineStr">
        <is>
          <t>P</t>
        </is>
      </c>
      <c r="AE9" s="89" t="inlineStr">
        <is>
          <t>P</t>
        </is>
      </c>
      <c r="AF9" s="89" t="inlineStr">
        <is>
          <t>P</t>
        </is>
      </c>
      <c r="AG9" s="89" t="inlineStr">
        <is>
          <t>P</t>
        </is>
      </c>
      <c r="AH9" s="89" t="inlineStr">
        <is>
          <t>P</t>
        </is>
      </c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56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8">
        <f>IF($A10="","",'Employee Master'!C10)</f>
        <v/>
      </c>
      <c r="D10" s="89" t="inlineStr">
        <is>
          <t>P</t>
        </is>
      </c>
      <c r="E10" s="121" t="inlineStr">
        <is>
          <t>UA</t>
        </is>
      </c>
      <c r="F10" s="89" t="inlineStr">
        <is>
          <t>P</t>
        </is>
      </c>
      <c r="G10" s="89" t="inlineStr">
        <is>
          <t>P</t>
        </is>
      </c>
      <c r="H10" s="89" t="inlineStr">
        <is>
          <t>P</t>
        </is>
      </c>
      <c r="I10" s="89" t="inlineStr">
        <is>
          <t>P</t>
        </is>
      </c>
      <c r="J10" s="89" t="inlineStr">
        <is>
          <t>P</t>
        </is>
      </c>
      <c r="K10" s="89" t="inlineStr">
        <is>
          <t>P</t>
        </is>
      </c>
      <c r="L10" s="89" t="inlineStr">
        <is>
          <t>P</t>
        </is>
      </c>
      <c r="M10" s="89" t="inlineStr">
        <is>
          <t>P</t>
        </is>
      </c>
      <c r="N10" s="89" t="inlineStr">
        <is>
          <t>P</t>
        </is>
      </c>
      <c r="O10" s="89" t="inlineStr">
        <is>
          <t>P</t>
        </is>
      </c>
      <c r="P10" s="89" t="inlineStr">
        <is>
          <t>P</t>
        </is>
      </c>
      <c r="Q10" s="89" t="inlineStr">
        <is>
          <t>P</t>
        </is>
      </c>
      <c r="R10" s="89" t="inlineStr">
        <is>
          <t>P</t>
        </is>
      </c>
      <c r="S10" s="121" t="inlineStr">
        <is>
          <t>UA</t>
        </is>
      </c>
      <c r="T10" s="121" t="inlineStr">
        <is>
          <t>UA</t>
        </is>
      </c>
      <c r="U10" s="121" t="inlineStr">
        <is>
          <t>UA</t>
        </is>
      </c>
      <c r="V10" s="121" t="inlineStr">
        <is>
          <t>UA</t>
        </is>
      </c>
      <c r="W10" s="121" t="inlineStr">
        <is>
          <t>UA</t>
        </is>
      </c>
      <c r="X10" s="121" t="inlineStr">
        <is>
          <t>UA</t>
        </is>
      </c>
      <c r="Y10" s="121" t="inlineStr">
        <is>
          <t>UA</t>
        </is>
      </c>
      <c r="Z10" s="121" t="inlineStr">
        <is>
          <t>UA</t>
        </is>
      </c>
      <c r="AA10" s="121" t="inlineStr">
        <is>
          <t>UA</t>
        </is>
      </c>
      <c r="AB10" s="89" t="inlineStr">
        <is>
          <t>P</t>
        </is>
      </c>
      <c r="AC10" s="121" t="inlineStr">
        <is>
          <t>UA</t>
        </is>
      </c>
      <c r="AD10" s="89" t="inlineStr">
        <is>
          <t>P</t>
        </is>
      </c>
      <c r="AE10" s="89" t="inlineStr">
        <is>
          <t>P</t>
        </is>
      </c>
      <c r="AF10" s="89" t="inlineStr">
        <is>
          <t>P</t>
        </is>
      </c>
      <c r="AG10" s="89" t="inlineStr">
        <is>
          <t>P</t>
        </is>
      </c>
      <c r="AH10" s="89" t="inlineStr">
        <is>
          <t>P</t>
        </is>
      </c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56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8">
        <f>IF($A11="","",'Employee Master'!C11)</f>
        <v/>
      </c>
      <c r="D11" s="89" t="inlineStr">
        <is>
          <t>P</t>
        </is>
      </c>
      <c r="E11" s="89" t="inlineStr">
        <is>
          <t>P</t>
        </is>
      </c>
      <c r="F11" s="89" t="inlineStr">
        <is>
          <t>P</t>
        </is>
      </c>
      <c r="G11" s="89" t="inlineStr">
        <is>
          <t>P</t>
        </is>
      </c>
      <c r="H11" s="89" t="inlineStr">
        <is>
          <t>P</t>
        </is>
      </c>
      <c r="I11" s="89" t="inlineStr">
        <is>
          <t>P</t>
        </is>
      </c>
      <c r="J11" s="89" t="inlineStr">
        <is>
          <t>P</t>
        </is>
      </c>
      <c r="K11" s="89" t="inlineStr">
        <is>
          <t>P</t>
        </is>
      </c>
      <c r="L11" s="89" t="inlineStr">
        <is>
          <t>P</t>
        </is>
      </c>
      <c r="M11" s="89" t="inlineStr">
        <is>
          <t>P</t>
        </is>
      </c>
      <c r="N11" s="89" t="inlineStr">
        <is>
          <t>P</t>
        </is>
      </c>
      <c r="O11" s="89" t="inlineStr">
        <is>
          <t>P</t>
        </is>
      </c>
      <c r="P11" s="89" t="inlineStr">
        <is>
          <t>P</t>
        </is>
      </c>
      <c r="Q11" s="89" t="inlineStr">
        <is>
          <t>P</t>
        </is>
      </c>
      <c r="R11" s="89" t="inlineStr">
        <is>
          <t>P</t>
        </is>
      </c>
      <c r="S11" s="89" t="inlineStr">
        <is>
          <t>P</t>
        </is>
      </c>
      <c r="T11" s="89" t="inlineStr">
        <is>
          <t>P</t>
        </is>
      </c>
      <c r="U11" s="89" t="inlineStr">
        <is>
          <t>P</t>
        </is>
      </c>
      <c r="V11" s="89" t="inlineStr">
        <is>
          <t>P</t>
        </is>
      </c>
      <c r="W11" s="89" t="inlineStr">
        <is>
          <t>P</t>
        </is>
      </c>
      <c r="X11" s="89" t="inlineStr">
        <is>
          <t>P</t>
        </is>
      </c>
      <c r="Y11" s="89" t="inlineStr">
        <is>
          <t>P</t>
        </is>
      </c>
      <c r="Z11" s="89" t="inlineStr">
        <is>
          <t>P</t>
        </is>
      </c>
      <c r="AA11" s="89" t="inlineStr">
        <is>
          <t>P</t>
        </is>
      </c>
      <c r="AB11" s="89" t="inlineStr">
        <is>
          <t>P</t>
        </is>
      </c>
      <c r="AC11" s="89" t="inlineStr">
        <is>
          <t>P</t>
        </is>
      </c>
      <c r="AD11" s="89" t="inlineStr">
        <is>
          <t>P</t>
        </is>
      </c>
      <c r="AE11" s="89" t="inlineStr">
        <is>
          <t>P</t>
        </is>
      </c>
      <c r="AF11" s="89" t="inlineStr">
        <is>
          <t>P</t>
        </is>
      </c>
      <c r="AG11" s="89" t="inlineStr">
        <is>
          <t>P</t>
        </is>
      </c>
      <c r="AH11" s="89" t="inlineStr">
        <is>
          <t>P</t>
        </is>
      </c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8">
        <f>IF($A12="","",'Employee Master'!C12)</f>
        <v/>
      </c>
      <c r="D12" s="89" t="inlineStr">
        <is>
          <t>P</t>
        </is>
      </c>
      <c r="E12" s="89" t="inlineStr">
        <is>
          <t>P</t>
        </is>
      </c>
      <c r="F12" s="89" t="inlineStr">
        <is>
          <t>P</t>
        </is>
      </c>
      <c r="G12" s="89" t="inlineStr">
        <is>
          <t>P</t>
        </is>
      </c>
      <c r="H12" s="89" t="inlineStr">
        <is>
          <t>P</t>
        </is>
      </c>
      <c r="I12" s="89" t="inlineStr">
        <is>
          <t>P</t>
        </is>
      </c>
      <c r="J12" s="89" t="inlineStr">
        <is>
          <t>P</t>
        </is>
      </c>
      <c r="K12" s="89" t="inlineStr">
        <is>
          <t>P</t>
        </is>
      </c>
      <c r="L12" s="89" t="inlineStr">
        <is>
          <t>P</t>
        </is>
      </c>
      <c r="M12" s="89" t="inlineStr">
        <is>
          <t>P</t>
        </is>
      </c>
      <c r="N12" s="89" t="inlineStr">
        <is>
          <t>P</t>
        </is>
      </c>
      <c r="O12" s="89" t="inlineStr">
        <is>
          <t>P</t>
        </is>
      </c>
      <c r="P12" s="89" t="inlineStr">
        <is>
          <t>P</t>
        </is>
      </c>
      <c r="Q12" s="89" t="inlineStr">
        <is>
          <t>P</t>
        </is>
      </c>
      <c r="R12" s="89" t="inlineStr">
        <is>
          <t>P</t>
        </is>
      </c>
      <c r="S12" s="89" t="inlineStr">
        <is>
          <t>P</t>
        </is>
      </c>
      <c r="T12" s="89" t="inlineStr">
        <is>
          <t>P</t>
        </is>
      </c>
      <c r="U12" s="89" t="inlineStr">
        <is>
          <t>P</t>
        </is>
      </c>
      <c r="V12" s="89" t="inlineStr">
        <is>
          <t>P</t>
        </is>
      </c>
      <c r="W12" s="89" t="inlineStr">
        <is>
          <t>P</t>
        </is>
      </c>
      <c r="X12" s="89" t="inlineStr">
        <is>
          <t>P</t>
        </is>
      </c>
      <c r="Y12" s="89" t="inlineStr">
        <is>
          <t>P</t>
        </is>
      </c>
      <c r="Z12" s="89" t="inlineStr">
        <is>
          <t>P</t>
        </is>
      </c>
      <c r="AA12" s="89" t="inlineStr">
        <is>
          <t>P</t>
        </is>
      </c>
      <c r="AB12" s="89" t="inlineStr">
        <is>
          <t>P</t>
        </is>
      </c>
      <c r="AC12" s="89" t="inlineStr">
        <is>
          <t>P</t>
        </is>
      </c>
      <c r="AD12" s="89" t="inlineStr">
        <is>
          <t>P</t>
        </is>
      </c>
      <c r="AE12" s="89" t="inlineStr">
        <is>
          <t>P</t>
        </is>
      </c>
      <c r="AF12" s="89" t="inlineStr">
        <is>
          <t>P</t>
        </is>
      </c>
      <c r="AG12" s="89" t="inlineStr">
        <is>
          <t>P</t>
        </is>
      </c>
      <c r="AH12" s="89" t="inlineStr">
        <is>
          <t>P</t>
        </is>
      </c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8">
        <f>IF($A13="","",'Employee Master'!C13)</f>
        <v/>
      </c>
      <c r="D13" s="89" t="inlineStr">
        <is>
          <t>P</t>
        </is>
      </c>
      <c r="E13" s="89" t="inlineStr">
        <is>
          <t>P</t>
        </is>
      </c>
      <c r="F13" s="89" t="inlineStr">
        <is>
          <t>P</t>
        </is>
      </c>
      <c r="G13" s="89" t="inlineStr">
        <is>
          <t>P</t>
        </is>
      </c>
      <c r="H13" s="89" t="inlineStr">
        <is>
          <t>P</t>
        </is>
      </c>
      <c r="I13" s="89" t="inlineStr">
        <is>
          <t>P</t>
        </is>
      </c>
      <c r="J13" s="89" t="inlineStr">
        <is>
          <t>P</t>
        </is>
      </c>
      <c r="K13" s="89" t="inlineStr">
        <is>
          <t>P</t>
        </is>
      </c>
      <c r="L13" s="89" t="inlineStr">
        <is>
          <t>P</t>
        </is>
      </c>
      <c r="M13" s="89" t="inlineStr">
        <is>
          <t>P</t>
        </is>
      </c>
      <c r="N13" s="89" t="inlineStr">
        <is>
          <t>P</t>
        </is>
      </c>
      <c r="O13" s="89" t="inlineStr">
        <is>
          <t>P</t>
        </is>
      </c>
      <c r="P13" s="89" t="inlineStr">
        <is>
          <t>P</t>
        </is>
      </c>
      <c r="Q13" s="89" t="inlineStr">
        <is>
          <t>P</t>
        </is>
      </c>
      <c r="R13" s="89" t="inlineStr">
        <is>
          <t>P</t>
        </is>
      </c>
      <c r="S13" s="89" t="inlineStr">
        <is>
          <t>P</t>
        </is>
      </c>
      <c r="T13" s="89" t="inlineStr">
        <is>
          <t>P</t>
        </is>
      </c>
      <c r="U13" s="89" t="inlineStr">
        <is>
          <t>P</t>
        </is>
      </c>
      <c r="V13" s="89" t="inlineStr">
        <is>
          <t>P</t>
        </is>
      </c>
      <c r="W13" s="89" t="inlineStr">
        <is>
          <t>P</t>
        </is>
      </c>
      <c r="X13" s="89" t="inlineStr">
        <is>
          <t>P</t>
        </is>
      </c>
      <c r="Y13" s="89" t="inlineStr">
        <is>
          <t>P</t>
        </is>
      </c>
      <c r="Z13" s="89" t="inlineStr">
        <is>
          <t>P</t>
        </is>
      </c>
      <c r="AA13" s="89" t="inlineStr">
        <is>
          <t>P</t>
        </is>
      </c>
      <c r="AB13" s="89" t="inlineStr">
        <is>
          <t>P</t>
        </is>
      </c>
      <c r="AC13" s="89" t="inlineStr">
        <is>
          <t>P</t>
        </is>
      </c>
      <c r="AD13" s="89" t="inlineStr">
        <is>
          <t>P</t>
        </is>
      </c>
      <c r="AE13" s="89" t="inlineStr">
        <is>
          <t>P</t>
        </is>
      </c>
      <c r="AF13" s="89" t="inlineStr">
        <is>
          <t>P</t>
        </is>
      </c>
      <c r="AG13" s="89" t="inlineStr">
        <is>
          <t>P</t>
        </is>
      </c>
      <c r="AH13" s="89" t="inlineStr">
        <is>
          <t>P</t>
        </is>
      </c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8">
        <f>IF($A14="","",'Employee Master'!C14)</f>
        <v/>
      </c>
      <c r="D14" s="89" t="inlineStr">
        <is>
          <t>P</t>
        </is>
      </c>
      <c r="E14" s="89" t="inlineStr">
        <is>
          <t>P</t>
        </is>
      </c>
      <c r="F14" s="89" t="inlineStr">
        <is>
          <t>P</t>
        </is>
      </c>
      <c r="G14" s="89" t="inlineStr">
        <is>
          <t>P</t>
        </is>
      </c>
      <c r="H14" s="89" t="inlineStr">
        <is>
          <t>P</t>
        </is>
      </c>
      <c r="I14" s="89" t="inlineStr">
        <is>
          <t>P</t>
        </is>
      </c>
      <c r="J14" s="89" t="inlineStr">
        <is>
          <t>P</t>
        </is>
      </c>
      <c r="K14" s="89" t="inlineStr">
        <is>
          <t>P</t>
        </is>
      </c>
      <c r="L14" s="89" t="inlineStr">
        <is>
          <t>P</t>
        </is>
      </c>
      <c r="M14" s="89" t="inlineStr">
        <is>
          <t>P</t>
        </is>
      </c>
      <c r="N14" s="89" t="inlineStr">
        <is>
          <t>P</t>
        </is>
      </c>
      <c r="O14" s="89" t="inlineStr">
        <is>
          <t>P</t>
        </is>
      </c>
      <c r="P14" s="89" t="inlineStr">
        <is>
          <t>P</t>
        </is>
      </c>
      <c r="Q14" s="89" t="inlineStr">
        <is>
          <t>P</t>
        </is>
      </c>
      <c r="R14" s="89" t="inlineStr">
        <is>
          <t>P</t>
        </is>
      </c>
      <c r="S14" s="89" t="inlineStr">
        <is>
          <t>P</t>
        </is>
      </c>
      <c r="T14" s="89" t="inlineStr">
        <is>
          <t>P</t>
        </is>
      </c>
      <c r="U14" s="89" t="inlineStr">
        <is>
          <t>P</t>
        </is>
      </c>
      <c r="V14" s="89" t="inlineStr">
        <is>
          <t>P</t>
        </is>
      </c>
      <c r="W14" s="89" t="inlineStr">
        <is>
          <t>P</t>
        </is>
      </c>
      <c r="X14" s="89" t="inlineStr">
        <is>
          <t>P</t>
        </is>
      </c>
      <c r="Y14" s="89" t="inlineStr">
        <is>
          <t>P</t>
        </is>
      </c>
      <c r="Z14" s="89" t="inlineStr">
        <is>
          <t>P</t>
        </is>
      </c>
      <c r="AA14" s="89" t="inlineStr">
        <is>
          <t>P</t>
        </is>
      </c>
      <c r="AB14" s="89" t="inlineStr">
        <is>
          <t>P</t>
        </is>
      </c>
      <c r="AC14" s="89" t="inlineStr">
        <is>
          <t>P</t>
        </is>
      </c>
      <c r="AD14" s="89" t="inlineStr">
        <is>
          <t>P</t>
        </is>
      </c>
      <c r="AE14" s="89" t="inlineStr">
        <is>
          <t>P</t>
        </is>
      </c>
      <c r="AF14" s="89" t="inlineStr">
        <is>
          <t>P</t>
        </is>
      </c>
      <c r="AG14" s="89" t="inlineStr">
        <is>
          <t>P</t>
        </is>
      </c>
      <c r="AH14" s="89" t="inlineStr">
        <is>
          <t>P</t>
        </is>
      </c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8">
        <f>IF($A15="","",'Employee Master'!C15)</f>
        <v/>
      </c>
      <c r="D15" s="89" t="inlineStr">
        <is>
          <t>P</t>
        </is>
      </c>
      <c r="E15" s="89" t="inlineStr">
        <is>
          <t>P</t>
        </is>
      </c>
      <c r="F15" s="89" t="inlineStr">
        <is>
          <t>P</t>
        </is>
      </c>
      <c r="G15" s="89" t="inlineStr">
        <is>
          <t>P</t>
        </is>
      </c>
      <c r="H15" s="89" t="inlineStr">
        <is>
          <t>P</t>
        </is>
      </c>
      <c r="I15" s="89" t="inlineStr">
        <is>
          <t>P</t>
        </is>
      </c>
      <c r="J15" s="89" t="inlineStr">
        <is>
          <t>P</t>
        </is>
      </c>
      <c r="K15" s="89" t="inlineStr">
        <is>
          <t>P</t>
        </is>
      </c>
      <c r="L15" s="89" t="inlineStr">
        <is>
          <t>P</t>
        </is>
      </c>
      <c r="M15" s="89" t="inlineStr">
        <is>
          <t>P</t>
        </is>
      </c>
      <c r="N15" s="89" t="inlineStr">
        <is>
          <t>P</t>
        </is>
      </c>
      <c r="O15" s="89" t="inlineStr">
        <is>
          <t>P</t>
        </is>
      </c>
      <c r="P15" s="89" t="inlineStr">
        <is>
          <t>P</t>
        </is>
      </c>
      <c r="Q15" s="89" t="inlineStr">
        <is>
          <t>P</t>
        </is>
      </c>
      <c r="R15" s="89" t="inlineStr">
        <is>
          <t>P</t>
        </is>
      </c>
      <c r="S15" s="89" t="inlineStr">
        <is>
          <t>P</t>
        </is>
      </c>
      <c r="T15" s="89" t="inlineStr">
        <is>
          <t>P</t>
        </is>
      </c>
      <c r="U15" s="121" t="inlineStr">
        <is>
          <t>UA</t>
        </is>
      </c>
      <c r="V15" s="121" t="inlineStr">
        <is>
          <t>UA</t>
        </is>
      </c>
      <c r="W15" s="121" t="inlineStr">
        <is>
          <t>UA</t>
        </is>
      </c>
      <c r="X15" s="121" t="inlineStr">
        <is>
          <t>UA</t>
        </is>
      </c>
      <c r="Y15" s="121" t="inlineStr">
        <is>
          <t>UA</t>
        </is>
      </c>
      <c r="Z15" s="121" t="inlineStr">
        <is>
          <t>UA</t>
        </is>
      </c>
      <c r="AA15" s="121" t="inlineStr">
        <is>
          <t>UA</t>
        </is>
      </c>
      <c r="AB15" s="121" t="inlineStr">
        <is>
          <t>UA</t>
        </is>
      </c>
      <c r="AC15" s="121" t="inlineStr">
        <is>
          <t>UA</t>
        </is>
      </c>
      <c r="AD15" s="121" t="inlineStr">
        <is>
          <t>UA</t>
        </is>
      </c>
      <c r="AE15" s="89" t="inlineStr">
        <is>
          <t>P</t>
        </is>
      </c>
      <c r="AF15" s="89" t="inlineStr">
        <is>
          <t>P</t>
        </is>
      </c>
      <c r="AG15" s="89" t="inlineStr">
        <is>
          <t>UA</t>
        </is>
      </c>
      <c r="AH15" s="89" t="inlineStr">
        <is>
          <t>UA</t>
        </is>
      </c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8">
        <f>IF($A16="","",'Employee Master'!C16)</f>
        <v/>
      </c>
      <c r="D16" s="89" t="inlineStr">
        <is>
          <t>P</t>
        </is>
      </c>
      <c r="E16" s="89" t="inlineStr">
        <is>
          <t>P</t>
        </is>
      </c>
      <c r="F16" s="89" t="inlineStr">
        <is>
          <t>P</t>
        </is>
      </c>
      <c r="G16" s="89" t="inlineStr">
        <is>
          <t>P</t>
        </is>
      </c>
      <c r="H16" s="89" t="inlineStr">
        <is>
          <t>P</t>
        </is>
      </c>
      <c r="I16" s="89" t="inlineStr">
        <is>
          <t>P</t>
        </is>
      </c>
      <c r="J16" s="89" t="inlineStr">
        <is>
          <t>P</t>
        </is>
      </c>
      <c r="K16" s="89" t="inlineStr">
        <is>
          <t>P</t>
        </is>
      </c>
      <c r="L16" s="89" t="inlineStr">
        <is>
          <t>P</t>
        </is>
      </c>
      <c r="M16" s="89" t="inlineStr">
        <is>
          <t>P</t>
        </is>
      </c>
      <c r="N16" s="89" t="inlineStr">
        <is>
          <t>P</t>
        </is>
      </c>
      <c r="O16" s="89" t="inlineStr">
        <is>
          <t>P</t>
        </is>
      </c>
      <c r="P16" s="89" t="inlineStr">
        <is>
          <t>P</t>
        </is>
      </c>
      <c r="Q16" s="89" t="inlineStr">
        <is>
          <t>P</t>
        </is>
      </c>
      <c r="R16" s="89" t="inlineStr">
        <is>
          <t>P</t>
        </is>
      </c>
      <c r="S16" s="121" t="inlineStr">
        <is>
          <t>UA</t>
        </is>
      </c>
      <c r="T16" s="121" t="inlineStr">
        <is>
          <t>UA</t>
        </is>
      </c>
      <c r="U16" s="121" t="inlineStr">
        <is>
          <t>UA</t>
        </is>
      </c>
      <c r="V16" s="121" t="inlineStr">
        <is>
          <t>UA</t>
        </is>
      </c>
      <c r="W16" s="121" t="inlineStr">
        <is>
          <t>UA</t>
        </is>
      </c>
      <c r="X16" s="121" t="inlineStr">
        <is>
          <t>UA</t>
        </is>
      </c>
      <c r="Y16" s="121" t="inlineStr">
        <is>
          <t>UA</t>
        </is>
      </c>
      <c r="Z16" s="121" t="inlineStr">
        <is>
          <t>UA</t>
        </is>
      </c>
      <c r="AA16" s="121" t="inlineStr">
        <is>
          <t>UA</t>
        </is>
      </c>
      <c r="AB16" s="121" t="inlineStr">
        <is>
          <t>UA</t>
        </is>
      </c>
      <c r="AC16" s="121" t="inlineStr">
        <is>
          <t>UA</t>
        </is>
      </c>
      <c r="AD16" s="121" t="inlineStr">
        <is>
          <t>UA</t>
        </is>
      </c>
      <c r="AE16" s="121" t="inlineStr">
        <is>
          <t>UA</t>
        </is>
      </c>
      <c r="AF16" s="121" t="inlineStr">
        <is>
          <t>UA</t>
        </is>
      </c>
      <c r="AG16" s="89" t="inlineStr">
        <is>
          <t>P</t>
        </is>
      </c>
      <c r="AH16" s="89" t="inlineStr">
        <is>
          <t>P</t>
        </is>
      </c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8">
        <f>IF($A17="","",'Employee Master'!C17)</f>
        <v/>
      </c>
      <c r="D17" s="89" t="inlineStr">
        <is>
          <t>P</t>
        </is>
      </c>
      <c r="E17" s="89" t="inlineStr">
        <is>
          <t>P</t>
        </is>
      </c>
      <c r="F17" s="89" t="inlineStr">
        <is>
          <t>P</t>
        </is>
      </c>
      <c r="G17" s="89" t="inlineStr">
        <is>
          <t>P</t>
        </is>
      </c>
      <c r="H17" s="89" t="inlineStr">
        <is>
          <t>P</t>
        </is>
      </c>
      <c r="I17" s="89" t="inlineStr">
        <is>
          <t>P</t>
        </is>
      </c>
      <c r="J17" s="89" t="inlineStr">
        <is>
          <t>P</t>
        </is>
      </c>
      <c r="K17" s="89" t="inlineStr">
        <is>
          <t>P</t>
        </is>
      </c>
      <c r="L17" s="89" t="inlineStr">
        <is>
          <t>P</t>
        </is>
      </c>
      <c r="M17" s="89" t="inlineStr">
        <is>
          <t>P</t>
        </is>
      </c>
      <c r="N17" s="89" t="inlineStr">
        <is>
          <t>P</t>
        </is>
      </c>
      <c r="O17" s="89" t="inlineStr">
        <is>
          <t>P</t>
        </is>
      </c>
      <c r="P17" s="89" t="inlineStr">
        <is>
          <t>P</t>
        </is>
      </c>
      <c r="Q17" s="89" t="inlineStr">
        <is>
          <t>P</t>
        </is>
      </c>
      <c r="R17" s="89" t="inlineStr">
        <is>
          <t>P</t>
        </is>
      </c>
      <c r="S17" s="89" t="inlineStr">
        <is>
          <t>P</t>
        </is>
      </c>
      <c r="T17" s="89" t="inlineStr">
        <is>
          <t>P</t>
        </is>
      </c>
      <c r="U17" s="89" t="inlineStr">
        <is>
          <t>P</t>
        </is>
      </c>
      <c r="V17" s="89" t="inlineStr">
        <is>
          <t>P</t>
        </is>
      </c>
      <c r="W17" s="89" t="inlineStr">
        <is>
          <t>P</t>
        </is>
      </c>
      <c r="X17" s="89" t="inlineStr">
        <is>
          <t>P</t>
        </is>
      </c>
      <c r="Y17" s="89" t="inlineStr">
        <is>
          <t>P</t>
        </is>
      </c>
      <c r="Z17" s="89" t="inlineStr">
        <is>
          <t>P</t>
        </is>
      </c>
      <c r="AA17" s="89" t="inlineStr">
        <is>
          <t>P</t>
        </is>
      </c>
      <c r="AB17" s="89" t="inlineStr">
        <is>
          <t>P</t>
        </is>
      </c>
      <c r="AC17" s="89" t="inlineStr">
        <is>
          <t>P</t>
        </is>
      </c>
      <c r="AD17" s="89" t="inlineStr">
        <is>
          <t>P</t>
        </is>
      </c>
      <c r="AE17" s="89" t="inlineStr">
        <is>
          <t>P</t>
        </is>
      </c>
      <c r="AF17" s="89" t="inlineStr">
        <is>
          <t>P</t>
        </is>
      </c>
      <c r="AG17" s="89" t="inlineStr">
        <is>
          <t>P</t>
        </is>
      </c>
      <c r="AH17" s="89" t="inlineStr">
        <is>
          <t>P</t>
        </is>
      </c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8">
        <f>IF($A18="","",'Employee Master'!C18)</f>
        <v/>
      </c>
      <c r="D18" s="89" t="inlineStr">
        <is>
          <t>P</t>
        </is>
      </c>
      <c r="E18" s="89" t="inlineStr">
        <is>
          <t>P</t>
        </is>
      </c>
      <c r="F18" s="89" t="inlineStr">
        <is>
          <t>P</t>
        </is>
      </c>
      <c r="G18" s="89" t="inlineStr">
        <is>
          <t>P</t>
        </is>
      </c>
      <c r="H18" s="89" t="inlineStr">
        <is>
          <t>P</t>
        </is>
      </c>
      <c r="I18" s="89" t="inlineStr">
        <is>
          <t>P</t>
        </is>
      </c>
      <c r="J18" s="89" t="inlineStr">
        <is>
          <t>P</t>
        </is>
      </c>
      <c r="K18" s="89" t="inlineStr">
        <is>
          <t>P</t>
        </is>
      </c>
      <c r="L18" s="89" t="inlineStr">
        <is>
          <t>P</t>
        </is>
      </c>
      <c r="M18" s="89" t="inlineStr">
        <is>
          <t>P</t>
        </is>
      </c>
      <c r="N18" s="89" t="inlineStr">
        <is>
          <t>P</t>
        </is>
      </c>
      <c r="O18" s="89" t="inlineStr">
        <is>
          <t>P</t>
        </is>
      </c>
      <c r="P18" s="89" t="inlineStr">
        <is>
          <t>P</t>
        </is>
      </c>
      <c r="Q18" s="89" t="inlineStr">
        <is>
          <t>P</t>
        </is>
      </c>
      <c r="R18" s="89" t="inlineStr">
        <is>
          <t>P</t>
        </is>
      </c>
      <c r="S18" s="89" t="inlineStr">
        <is>
          <t>P</t>
        </is>
      </c>
      <c r="T18" s="89" t="inlineStr">
        <is>
          <t>P</t>
        </is>
      </c>
      <c r="U18" s="89" t="inlineStr">
        <is>
          <t>P</t>
        </is>
      </c>
      <c r="V18" s="89" t="inlineStr">
        <is>
          <t>P</t>
        </is>
      </c>
      <c r="W18" s="121" t="inlineStr">
        <is>
          <t>UA</t>
        </is>
      </c>
      <c r="X18" s="121" t="inlineStr">
        <is>
          <t>UA</t>
        </is>
      </c>
      <c r="Y18" s="121" t="inlineStr">
        <is>
          <t>UA</t>
        </is>
      </c>
      <c r="Z18" s="121" t="inlineStr">
        <is>
          <t>UA</t>
        </is>
      </c>
      <c r="AA18" s="121" t="inlineStr">
        <is>
          <t>UA</t>
        </is>
      </c>
      <c r="AB18" s="121" t="inlineStr">
        <is>
          <t>UA</t>
        </is>
      </c>
      <c r="AC18" s="121" t="inlineStr">
        <is>
          <t>UA</t>
        </is>
      </c>
      <c r="AD18" s="121" t="inlineStr">
        <is>
          <t>UA</t>
        </is>
      </c>
      <c r="AE18" s="121" t="inlineStr">
        <is>
          <t>UA</t>
        </is>
      </c>
      <c r="AF18" s="121" t="inlineStr">
        <is>
          <t>UA</t>
        </is>
      </c>
      <c r="AG18" s="121" t="inlineStr">
        <is>
          <t>UA</t>
        </is>
      </c>
      <c r="AH18" s="121" t="inlineStr">
        <is>
          <t>UA</t>
        </is>
      </c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8">
        <f>IF($A19="","",'Employee Master'!C19)</f>
        <v/>
      </c>
      <c r="D19" s="89" t="inlineStr">
        <is>
          <t>P</t>
        </is>
      </c>
      <c r="E19" s="89" t="inlineStr">
        <is>
          <t>P</t>
        </is>
      </c>
      <c r="F19" s="89" t="inlineStr">
        <is>
          <t>P</t>
        </is>
      </c>
      <c r="G19" s="89" t="inlineStr">
        <is>
          <t>P</t>
        </is>
      </c>
      <c r="H19" s="89" t="inlineStr">
        <is>
          <t>P</t>
        </is>
      </c>
      <c r="I19" s="89" t="inlineStr">
        <is>
          <t>P</t>
        </is>
      </c>
      <c r="J19" s="89" t="inlineStr">
        <is>
          <t>P</t>
        </is>
      </c>
      <c r="K19" s="89" t="inlineStr">
        <is>
          <t>P</t>
        </is>
      </c>
      <c r="L19" s="89" t="inlineStr">
        <is>
          <t>P</t>
        </is>
      </c>
      <c r="M19" s="89" t="inlineStr">
        <is>
          <t>P</t>
        </is>
      </c>
      <c r="N19" s="89" t="inlineStr">
        <is>
          <t>P</t>
        </is>
      </c>
      <c r="O19" s="89" t="inlineStr">
        <is>
          <t>P</t>
        </is>
      </c>
      <c r="P19" s="89" t="inlineStr">
        <is>
          <t>P</t>
        </is>
      </c>
      <c r="Q19" s="89" t="inlineStr">
        <is>
          <t>P</t>
        </is>
      </c>
      <c r="R19" s="89" t="inlineStr">
        <is>
          <t>P</t>
        </is>
      </c>
      <c r="S19" s="89" t="inlineStr">
        <is>
          <t>P</t>
        </is>
      </c>
      <c r="T19" s="121" t="inlineStr">
        <is>
          <t>UA</t>
        </is>
      </c>
      <c r="U19" s="121" t="inlineStr">
        <is>
          <t>UA</t>
        </is>
      </c>
      <c r="V19" s="121" t="inlineStr">
        <is>
          <t>UA</t>
        </is>
      </c>
      <c r="W19" s="121" t="inlineStr">
        <is>
          <t>UA</t>
        </is>
      </c>
      <c r="X19" s="121" t="inlineStr">
        <is>
          <t>UA</t>
        </is>
      </c>
      <c r="Y19" s="121" t="inlineStr">
        <is>
          <t>UA</t>
        </is>
      </c>
      <c r="Z19" s="121" t="inlineStr">
        <is>
          <t>UA</t>
        </is>
      </c>
      <c r="AA19" s="121" t="inlineStr">
        <is>
          <t>UA</t>
        </is>
      </c>
      <c r="AB19" s="121" t="inlineStr">
        <is>
          <t>UA</t>
        </is>
      </c>
      <c r="AC19" s="121" t="inlineStr">
        <is>
          <t>UA</t>
        </is>
      </c>
      <c r="AD19" s="121" t="inlineStr">
        <is>
          <t>UA</t>
        </is>
      </c>
      <c r="AE19" s="121" t="inlineStr">
        <is>
          <t>UA</t>
        </is>
      </c>
      <c r="AF19" s="121" t="inlineStr">
        <is>
          <t>UA</t>
        </is>
      </c>
      <c r="AG19" s="121" t="inlineStr">
        <is>
          <t>UA</t>
        </is>
      </c>
      <c r="AH19" s="89" t="inlineStr">
        <is>
          <t>P</t>
        </is>
      </c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8">
        <f>IF($A20="","",'Employee Master'!C20)</f>
        <v/>
      </c>
      <c r="D20" s="89" t="inlineStr">
        <is>
          <t>P</t>
        </is>
      </c>
      <c r="E20" s="89" t="inlineStr">
        <is>
          <t>P</t>
        </is>
      </c>
      <c r="F20" s="89" t="inlineStr">
        <is>
          <t>P</t>
        </is>
      </c>
      <c r="G20" s="89" t="inlineStr">
        <is>
          <t>P</t>
        </is>
      </c>
      <c r="H20" s="89" t="inlineStr">
        <is>
          <t>P</t>
        </is>
      </c>
      <c r="I20" s="89" t="inlineStr">
        <is>
          <t>P</t>
        </is>
      </c>
      <c r="J20" s="89" t="inlineStr">
        <is>
          <t>P</t>
        </is>
      </c>
      <c r="K20" s="121" t="inlineStr">
        <is>
          <t>UA</t>
        </is>
      </c>
      <c r="L20" s="89" t="inlineStr">
        <is>
          <t>P</t>
        </is>
      </c>
      <c r="M20" s="89" t="inlineStr">
        <is>
          <t>P</t>
        </is>
      </c>
      <c r="N20" s="89" t="inlineStr">
        <is>
          <t>P</t>
        </is>
      </c>
      <c r="O20" s="89" t="inlineStr">
        <is>
          <t>P</t>
        </is>
      </c>
      <c r="P20" s="121" t="inlineStr">
        <is>
          <t>UA</t>
        </is>
      </c>
      <c r="Q20" s="121" t="inlineStr">
        <is>
          <t>UA</t>
        </is>
      </c>
      <c r="R20" s="121" t="inlineStr">
        <is>
          <t>UA</t>
        </is>
      </c>
      <c r="S20" s="121" t="inlineStr">
        <is>
          <t>UA</t>
        </is>
      </c>
      <c r="T20" s="121" t="inlineStr">
        <is>
          <t>UA</t>
        </is>
      </c>
      <c r="U20" s="121" t="inlineStr">
        <is>
          <t>UA</t>
        </is>
      </c>
      <c r="V20" s="121" t="inlineStr">
        <is>
          <t>UA</t>
        </is>
      </c>
      <c r="W20" s="121" t="inlineStr">
        <is>
          <t>UA</t>
        </is>
      </c>
      <c r="X20" s="121" t="inlineStr">
        <is>
          <t>UA</t>
        </is>
      </c>
      <c r="Y20" s="121" t="inlineStr">
        <is>
          <t>UA</t>
        </is>
      </c>
      <c r="Z20" s="121" t="inlineStr">
        <is>
          <t>UA</t>
        </is>
      </c>
      <c r="AA20" s="121" t="inlineStr">
        <is>
          <t>UA</t>
        </is>
      </c>
      <c r="AB20" s="121" t="inlineStr">
        <is>
          <t>UA</t>
        </is>
      </c>
      <c r="AC20" s="121" t="inlineStr">
        <is>
          <t>UA</t>
        </is>
      </c>
      <c r="AD20" s="121" t="inlineStr">
        <is>
          <t>UA</t>
        </is>
      </c>
      <c r="AE20" s="121" t="inlineStr">
        <is>
          <t>UA</t>
        </is>
      </c>
      <c r="AF20" s="121" t="inlineStr">
        <is>
          <t>UA</t>
        </is>
      </c>
      <c r="AG20" s="121" t="inlineStr">
        <is>
          <t>UA</t>
        </is>
      </c>
      <c r="AH20" s="121" t="inlineStr">
        <is>
          <t>UA</t>
        </is>
      </c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8">
        <f>IF($A21="","",'Employee Master'!C21)</f>
        <v/>
      </c>
      <c r="D21" s="89" t="inlineStr">
        <is>
          <t>P</t>
        </is>
      </c>
      <c r="E21" s="89" t="inlineStr">
        <is>
          <t>P</t>
        </is>
      </c>
      <c r="F21" s="89" t="inlineStr">
        <is>
          <t>P</t>
        </is>
      </c>
      <c r="G21" s="89" t="inlineStr">
        <is>
          <t>P</t>
        </is>
      </c>
      <c r="H21" s="89" t="inlineStr">
        <is>
          <t>P</t>
        </is>
      </c>
      <c r="I21" s="89" t="inlineStr">
        <is>
          <t>P</t>
        </is>
      </c>
      <c r="J21" s="89" t="inlineStr">
        <is>
          <t>P</t>
        </is>
      </c>
      <c r="K21" s="89" t="inlineStr">
        <is>
          <t>P</t>
        </is>
      </c>
      <c r="L21" s="89" t="inlineStr">
        <is>
          <t>P</t>
        </is>
      </c>
      <c r="M21" s="89" t="inlineStr">
        <is>
          <t>P</t>
        </is>
      </c>
      <c r="N21" s="89" t="inlineStr">
        <is>
          <t>P</t>
        </is>
      </c>
      <c r="O21" s="89" t="inlineStr">
        <is>
          <t>P</t>
        </is>
      </c>
      <c r="P21" s="89" t="inlineStr">
        <is>
          <t>P</t>
        </is>
      </c>
      <c r="Q21" s="89" t="inlineStr">
        <is>
          <t>P</t>
        </is>
      </c>
      <c r="R21" s="89" t="inlineStr">
        <is>
          <t>P</t>
        </is>
      </c>
      <c r="S21" s="89" t="inlineStr">
        <is>
          <t>P</t>
        </is>
      </c>
      <c r="T21" s="89" t="inlineStr">
        <is>
          <t>P</t>
        </is>
      </c>
      <c r="U21" s="89" t="inlineStr">
        <is>
          <t>P</t>
        </is>
      </c>
      <c r="V21" s="89" t="inlineStr">
        <is>
          <t>P</t>
        </is>
      </c>
      <c r="W21" s="89" t="inlineStr">
        <is>
          <t>P</t>
        </is>
      </c>
      <c r="X21" s="89" t="inlineStr">
        <is>
          <t>P</t>
        </is>
      </c>
      <c r="Y21" s="89" t="inlineStr">
        <is>
          <t>P</t>
        </is>
      </c>
      <c r="Z21" s="89" t="inlineStr">
        <is>
          <t>P</t>
        </is>
      </c>
      <c r="AA21" s="89" t="inlineStr">
        <is>
          <t>P</t>
        </is>
      </c>
      <c r="AB21" s="89" t="inlineStr">
        <is>
          <t>P</t>
        </is>
      </c>
      <c r="AC21" s="89" t="inlineStr">
        <is>
          <t>P</t>
        </is>
      </c>
      <c r="AD21" s="89" t="inlineStr">
        <is>
          <t>P</t>
        </is>
      </c>
      <c r="AE21" s="89" t="inlineStr">
        <is>
          <t>P</t>
        </is>
      </c>
      <c r="AF21" s="89" t="inlineStr">
        <is>
          <t>P</t>
        </is>
      </c>
      <c r="AG21" s="89" t="inlineStr">
        <is>
          <t>P</t>
        </is>
      </c>
      <c r="AH21" s="89" t="inlineStr">
        <is>
          <t>P</t>
        </is>
      </c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8">
        <f>IF($A22="","",'Employee Master'!C22)</f>
        <v/>
      </c>
      <c r="D22" s="89" t="inlineStr">
        <is>
          <t>P</t>
        </is>
      </c>
      <c r="E22" s="89" t="inlineStr">
        <is>
          <t>P</t>
        </is>
      </c>
      <c r="F22" s="89" t="inlineStr">
        <is>
          <t>P</t>
        </is>
      </c>
      <c r="G22" s="89" t="inlineStr">
        <is>
          <t>P</t>
        </is>
      </c>
      <c r="H22" s="89" t="inlineStr">
        <is>
          <t>P</t>
        </is>
      </c>
      <c r="I22" s="89" t="inlineStr">
        <is>
          <t>P</t>
        </is>
      </c>
      <c r="J22" s="89" t="inlineStr">
        <is>
          <t>P</t>
        </is>
      </c>
      <c r="K22" s="89" t="inlineStr">
        <is>
          <t>P</t>
        </is>
      </c>
      <c r="L22" s="89" t="inlineStr">
        <is>
          <t>P</t>
        </is>
      </c>
      <c r="M22" s="89" t="inlineStr">
        <is>
          <t>P</t>
        </is>
      </c>
      <c r="N22" s="89" t="inlineStr">
        <is>
          <t>P</t>
        </is>
      </c>
      <c r="O22" s="89" t="inlineStr">
        <is>
          <t>P</t>
        </is>
      </c>
      <c r="P22" s="89" t="inlineStr">
        <is>
          <t>P</t>
        </is>
      </c>
      <c r="Q22" s="89" t="inlineStr">
        <is>
          <t>P</t>
        </is>
      </c>
      <c r="R22" s="89" t="inlineStr">
        <is>
          <t>P</t>
        </is>
      </c>
      <c r="S22" s="89" t="inlineStr">
        <is>
          <t>P</t>
        </is>
      </c>
      <c r="T22" s="89" t="inlineStr">
        <is>
          <t>P</t>
        </is>
      </c>
      <c r="U22" s="89" t="inlineStr">
        <is>
          <t>P</t>
        </is>
      </c>
      <c r="V22" s="89" t="inlineStr">
        <is>
          <t>P</t>
        </is>
      </c>
      <c r="W22" s="89" t="inlineStr">
        <is>
          <t>P</t>
        </is>
      </c>
      <c r="X22" s="89" t="inlineStr">
        <is>
          <t>P</t>
        </is>
      </c>
      <c r="Y22" s="89" t="inlineStr">
        <is>
          <t>P</t>
        </is>
      </c>
      <c r="Z22" s="89" t="inlineStr">
        <is>
          <t>P</t>
        </is>
      </c>
      <c r="AA22" s="89" t="inlineStr">
        <is>
          <t>P</t>
        </is>
      </c>
      <c r="AB22" s="89" t="inlineStr">
        <is>
          <t>P</t>
        </is>
      </c>
      <c r="AC22" s="89" t="inlineStr">
        <is>
          <t>P</t>
        </is>
      </c>
      <c r="AD22" s="89" t="inlineStr">
        <is>
          <t>P</t>
        </is>
      </c>
      <c r="AE22" s="89" t="inlineStr">
        <is>
          <t>P</t>
        </is>
      </c>
      <c r="AF22" s="89" t="inlineStr">
        <is>
          <t>P</t>
        </is>
      </c>
      <c r="AG22" s="89" t="inlineStr">
        <is>
          <t>P</t>
        </is>
      </c>
      <c r="AH22" s="89" t="inlineStr">
        <is>
          <t>P</t>
        </is>
      </c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8">
        <f>IF($A23="","",'Employee Master'!C23)</f>
        <v/>
      </c>
      <c r="D23" s="121" t="inlineStr">
        <is>
          <t>UA</t>
        </is>
      </c>
      <c r="E23" s="121" t="inlineStr">
        <is>
          <t>UA</t>
        </is>
      </c>
      <c r="F23" s="121" t="inlineStr">
        <is>
          <t>UA</t>
        </is>
      </c>
      <c r="G23" s="121" t="inlineStr">
        <is>
          <t>UA</t>
        </is>
      </c>
      <c r="H23" s="121" t="inlineStr">
        <is>
          <t>UA</t>
        </is>
      </c>
      <c r="I23" s="121" t="inlineStr">
        <is>
          <t>UA</t>
        </is>
      </c>
      <c r="J23" s="121" t="inlineStr">
        <is>
          <t>UA</t>
        </is>
      </c>
      <c r="K23" s="121" t="inlineStr">
        <is>
          <t>UA</t>
        </is>
      </c>
      <c r="L23" s="121" t="inlineStr">
        <is>
          <t>UA</t>
        </is>
      </c>
      <c r="M23" s="121" t="inlineStr">
        <is>
          <t>UA</t>
        </is>
      </c>
      <c r="N23" s="121" t="inlineStr">
        <is>
          <t>UA</t>
        </is>
      </c>
      <c r="O23" s="121" t="inlineStr">
        <is>
          <t>UA</t>
        </is>
      </c>
      <c r="P23" s="121" t="inlineStr">
        <is>
          <t>UA</t>
        </is>
      </c>
      <c r="Q23" s="121" t="inlineStr">
        <is>
          <t>UA</t>
        </is>
      </c>
      <c r="R23" s="121" t="inlineStr">
        <is>
          <t>UA</t>
        </is>
      </c>
      <c r="S23" s="121" t="inlineStr">
        <is>
          <t>UA</t>
        </is>
      </c>
      <c r="T23" s="121" t="inlineStr">
        <is>
          <t>UA</t>
        </is>
      </c>
      <c r="U23" s="121" t="inlineStr">
        <is>
          <t>UA</t>
        </is>
      </c>
      <c r="V23" s="121" t="inlineStr">
        <is>
          <t>UA</t>
        </is>
      </c>
      <c r="W23" s="89" t="inlineStr">
        <is>
          <t>P</t>
        </is>
      </c>
      <c r="X23" s="89" t="inlineStr">
        <is>
          <t>P</t>
        </is>
      </c>
      <c r="Y23" s="89" t="inlineStr">
        <is>
          <t>P</t>
        </is>
      </c>
      <c r="Z23" s="89" t="inlineStr">
        <is>
          <t>P</t>
        </is>
      </c>
      <c r="AA23" s="89" t="inlineStr">
        <is>
          <t>P</t>
        </is>
      </c>
      <c r="AB23" s="89" t="inlineStr">
        <is>
          <t>P</t>
        </is>
      </c>
      <c r="AC23" s="89" t="inlineStr">
        <is>
          <t>P</t>
        </is>
      </c>
      <c r="AD23" s="89" t="inlineStr">
        <is>
          <t>P</t>
        </is>
      </c>
      <c r="AE23" s="89" t="inlineStr">
        <is>
          <t>P</t>
        </is>
      </c>
      <c r="AF23" s="89" t="inlineStr">
        <is>
          <t>P</t>
        </is>
      </c>
      <c r="AG23" s="89" t="inlineStr">
        <is>
          <t>P</t>
        </is>
      </c>
      <c r="AH23" s="89" t="inlineStr">
        <is>
          <t>P</t>
        </is>
      </c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8">
        <f>IF($A24="","",'Employee Master'!C24)</f>
        <v/>
      </c>
      <c r="D24" s="89" t="inlineStr">
        <is>
          <t>P</t>
        </is>
      </c>
      <c r="E24" s="89" t="inlineStr">
        <is>
          <t>P</t>
        </is>
      </c>
      <c r="F24" s="89" t="inlineStr">
        <is>
          <t>P</t>
        </is>
      </c>
      <c r="G24" s="89" t="inlineStr">
        <is>
          <t>P</t>
        </is>
      </c>
      <c r="H24" s="89" t="inlineStr">
        <is>
          <t>P</t>
        </is>
      </c>
      <c r="I24" s="89" t="inlineStr">
        <is>
          <t>P</t>
        </is>
      </c>
      <c r="J24" s="89" t="inlineStr">
        <is>
          <t>P</t>
        </is>
      </c>
      <c r="K24" s="89" t="inlineStr">
        <is>
          <t>P</t>
        </is>
      </c>
      <c r="L24" s="89" t="inlineStr">
        <is>
          <t>P</t>
        </is>
      </c>
      <c r="M24" s="89" t="inlineStr">
        <is>
          <t>P</t>
        </is>
      </c>
      <c r="N24" s="89" t="inlineStr">
        <is>
          <t>P</t>
        </is>
      </c>
      <c r="O24" s="89" t="inlineStr">
        <is>
          <t>P</t>
        </is>
      </c>
      <c r="P24" s="89" t="inlineStr">
        <is>
          <t>P</t>
        </is>
      </c>
      <c r="Q24" s="89" t="inlineStr">
        <is>
          <t>P</t>
        </is>
      </c>
      <c r="R24" s="89" t="inlineStr">
        <is>
          <t>P</t>
        </is>
      </c>
      <c r="S24" s="89" t="inlineStr">
        <is>
          <t>P</t>
        </is>
      </c>
      <c r="T24" s="89" t="inlineStr">
        <is>
          <t>P</t>
        </is>
      </c>
      <c r="U24" s="121" t="inlineStr">
        <is>
          <t>UA</t>
        </is>
      </c>
      <c r="V24" s="121" t="inlineStr">
        <is>
          <t>UA</t>
        </is>
      </c>
      <c r="W24" s="121" t="inlineStr">
        <is>
          <t>UA</t>
        </is>
      </c>
      <c r="X24" s="121" t="inlineStr">
        <is>
          <t>UA</t>
        </is>
      </c>
      <c r="Y24" s="121" t="inlineStr">
        <is>
          <t>UA</t>
        </is>
      </c>
      <c r="Z24" s="121" t="inlineStr">
        <is>
          <t>UA</t>
        </is>
      </c>
      <c r="AA24" s="121" t="inlineStr">
        <is>
          <t>UA</t>
        </is>
      </c>
      <c r="AB24" s="121" t="inlineStr">
        <is>
          <t>UA</t>
        </is>
      </c>
      <c r="AC24" s="121" t="inlineStr">
        <is>
          <t>UA</t>
        </is>
      </c>
      <c r="AD24" s="121" t="inlineStr">
        <is>
          <t>UA</t>
        </is>
      </c>
      <c r="AE24" s="121" t="inlineStr">
        <is>
          <t>UA</t>
        </is>
      </c>
      <c r="AF24" s="121" t="inlineStr">
        <is>
          <t>UA</t>
        </is>
      </c>
      <c r="AG24" s="121" t="inlineStr">
        <is>
          <t>UA</t>
        </is>
      </c>
      <c r="AH24" s="121" t="inlineStr">
        <is>
          <t>UA</t>
        </is>
      </c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8">
        <f>IF($A25="","",'Employee Master'!C25)</f>
        <v/>
      </c>
      <c r="D25" s="89" t="inlineStr">
        <is>
          <t>P</t>
        </is>
      </c>
      <c r="E25" s="89" t="inlineStr">
        <is>
          <t>P</t>
        </is>
      </c>
      <c r="F25" s="89" t="inlineStr">
        <is>
          <t>P</t>
        </is>
      </c>
      <c r="G25" s="89" t="inlineStr">
        <is>
          <t>P</t>
        </is>
      </c>
      <c r="H25" s="89" t="inlineStr">
        <is>
          <t>P</t>
        </is>
      </c>
      <c r="I25" s="89" t="inlineStr">
        <is>
          <t>P</t>
        </is>
      </c>
      <c r="J25" s="89" t="inlineStr">
        <is>
          <t>P</t>
        </is>
      </c>
      <c r="K25" s="89" t="inlineStr">
        <is>
          <t>P</t>
        </is>
      </c>
      <c r="L25" s="89" t="inlineStr">
        <is>
          <t>P</t>
        </is>
      </c>
      <c r="M25" s="89" t="inlineStr">
        <is>
          <t>P</t>
        </is>
      </c>
      <c r="N25" s="89" t="inlineStr">
        <is>
          <t>P</t>
        </is>
      </c>
      <c r="O25" s="89" t="inlineStr">
        <is>
          <t>P</t>
        </is>
      </c>
      <c r="P25" s="121" t="inlineStr">
        <is>
          <t>UA</t>
        </is>
      </c>
      <c r="Q25" s="121" t="inlineStr">
        <is>
          <t>UA</t>
        </is>
      </c>
      <c r="R25" s="121" t="inlineStr">
        <is>
          <t>UA</t>
        </is>
      </c>
      <c r="S25" s="121" t="inlineStr">
        <is>
          <t>UA</t>
        </is>
      </c>
      <c r="T25" s="121" t="inlineStr">
        <is>
          <t>UA</t>
        </is>
      </c>
      <c r="U25" s="121" t="inlineStr">
        <is>
          <t>UA</t>
        </is>
      </c>
      <c r="V25" s="121" t="inlineStr">
        <is>
          <t>UA</t>
        </is>
      </c>
      <c r="W25" s="121" t="inlineStr">
        <is>
          <t>UA</t>
        </is>
      </c>
      <c r="X25" s="121" t="inlineStr">
        <is>
          <t>UA</t>
        </is>
      </c>
      <c r="Y25" s="121" t="inlineStr">
        <is>
          <t>UA</t>
        </is>
      </c>
      <c r="Z25" s="121" t="inlineStr">
        <is>
          <t>UA</t>
        </is>
      </c>
      <c r="AA25" s="121" t="inlineStr">
        <is>
          <t>UA</t>
        </is>
      </c>
      <c r="AB25" s="121" t="inlineStr">
        <is>
          <t>UA</t>
        </is>
      </c>
      <c r="AC25" s="121" t="inlineStr">
        <is>
          <t>UA</t>
        </is>
      </c>
      <c r="AD25" s="121" t="inlineStr">
        <is>
          <t>UA</t>
        </is>
      </c>
      <c r="AE25" s="121" t="inlineStr">
        <is>
          <t>UA</t>
        </is>
      </c>
      <c r="AF25" s="121" t="inlineStr">
        <is>
          <t>UA</t>
        </is>
      </c>
      <c r="AG25" s="121" t="inlineStr">
        <is>
          <t>UA</t>
        </is>
      </c>
      <c r="AH25" s="121" t="inlineStr">
        <is>
          <t>UA</t>
        </is>
      </c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8">
        <f>IF($A26="","",'Employee Master'!C26)</f>
        <v/>
      </c>
      <c r="D26" s="89" t="inlineStr">
        <is>
          <t>P</t>
        </is>
      </c>
      <c r="E26" s="89" t="inlineStr">
        <is>
          <t>P</t>
        </is>
      </c>
      <c r="F26" s="89" t="inlineStr">
        <is>
          <t>P</t>
        </is>
      </c>
      <c r="G26" s="89" t="inlineStr">
        <is>
          <t>P</t>
        </is>
      </c>
      <c r="H26" s="89" t="inlineStr">
        <is>
          <t>P</t>
        </is>
      </c>
      <c r="I26" s="89" t="inlineStr">
        <is>
          <t>P</t>
        </is>
      </c>
      <c r="J26" s="89" t="inlineStr">
        <is>
          <t>P</t>
        </is>
      </c>
      <c r="K26" s="89" t="inlineStr">
        <is>
          <t>P</t>
        </is>
      </c>
      <c r="L26" s="89" t="inlineStr">
        <is>
          <t>P</t>
        </is>
      </c>
      <c r="M26" s="89" t="inlineStr">
        <is>
          <t>P</t>
        </is>
      </c>
      <c r="N26" s="89" t="inlineStr">
        <is>
          <t>P</t>
        </is>
      </c>
      <c r="O26" s="89" t="inlineStr">
        <is>
          <t>P</t>
        </is>
      </c>
      <c r="P26" s="89" t="inlineStr">
        <is>
          <t>P</t>
        </is>
      </c>
      <c r="Q26" s="121" t="inlineStr">
        <is>
          <t>UA</t>
        </is>
      </c>
      <c r="R26" s="89" t="inlineStr">
        <is>
          <t>P</t>
        </is>
      </c>
      <c r="S26" s="89" t="inlineStr">
        <is>
          <t>P</t>
        </is>
      </c>
      <c r="T26" s="89" t="inlineStr">
        <is>
          <t>P</t>
        </is>
      </c>
      <c r="U26" s="89" t="inlineStr">
        <is>
          <t>P</t>
        </is>
      </c>
      <c r="V26" s="89" t="inlineStr">
        <is>
          <t>P</t>
        </is>
      </c>
      <c r="W26" s="121" t="inlineStr">
        <is>
          <t>UA</t>
        </is>
      </c>
      <c r="X26" s="121" t="inlineStr">
        <is>
          <t>UA</t>
        </is>
      </c>
      <c r="Y26" s="121" t="inlineStr">
        <is>
          <t>UA</t>
        </is>
      </c>
      <c r="Z26" s="121" t="inlineStr">
        <is>
          <t>UA</t>
        </is>
      </c>
      <c r="AA26" s="121" t="inlineStr">
        <is>
          <t>UA</t>
        </is>
      </c>
      <c r="AB26" s="121" t="inlineStr">
        <is>
          <t>UA</t>
        </is>
      </c>
      <c r="AC26" s="121" t="inlineStr">
        <is>
          <t>UA</t>
        </is>
      </c>
      <c r="AD26" s="121" t="inlineStr">
        <is>
          <t>UA</t>
        </is>
      </c>
      <c r="AE26" s="121" t="inlineStr">
        <is>
          <t>UA</t>
        </is>
      </c>
      <c r="AF26" s="121" t="inlineStr">
        <is>
          <t>UA</t>
        </is>
      </c>
      <c r="AG26" s="121" t="inlineStr">
        <is>
          <t>UA</t>
        </is>
      </c>
      <c r="AH26" s="121" t="inlineStr">
        <is>
          <t>UA</t>
        </is>
      </c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8">
        <f>IF($A27="","",'Employee Master'!C27)</f>
        <v/>
      </c>
      <c r="D27" s="121" t="inlineStr">
        <is>
          <t>UA</t>
        </is>
      </c>
      <c r="E27" s="121" t="inlineStr">
        <is>
          <t>UA</t>
        </is>
      </c>
      <c r="F27" s="121" t="inlineStr">
        <is>
          <t>UA</t>
        </is>
      </c>
      <c r="G27" s="121" t="inlineStr">
        <is>
          <t>UA</t>
        </is>
      </c>
      <c r="H27" s="121" t="inlineStr">
        <is>
          <t>UA</t>
        </is>
      </c>
      <c r="I27" s="121" t="inlineStr">
        <is>
          <t>UA</t>
        </is>
      </c>
      <c r="J27" s="121" t="inlineStr">
        <is>
          <t>UA</t>
        </is>
      </c>
      <c r="K27" s="121" t="inlineStr">
        <is>
          <t>UA</t>
        </is>
      </c>
      <c r="L27" s="121" t="inlineStr">
        <is>
          <t>UA</t>
        </is>
      </c>
      <c r="M27" s="121" t="inlineStr">
        <is>
          <t>UA</t>
        </is>
      </c>
      <c r="N27" s="121" t="inlineStr">
        <is>
          <t>UA</t>
        </is>
      </c>
      <c r="O27" s="121" t="inlineStr">
        <is>
          <t>UA</t>
        </is>
      </c>
      <c r="P27" s="121" t="inlineStr">
        <is>
          <t>UA</t>
        </is>
      </c>
      <c r="Q27" s="121" t="inlineStr">
        <is>
          <t>UA</t>
        </is>
      </c>
      <c r="R27" s="121" t="inlineStr">
        <is>
          <t>UA</t>
        </is>
      </c>
      <c r="S27" s="121" t="inlineStr">
        <is>
          <t>UA</t>
        </is>
      </c>
      <c r="T27" s="121" t="inlineStr">
        <is>
          <t>UA</t>
        </is>
      </c>
      <c r="U27" s="121" t="inlineStr">
        <is>
          <t>UA</t>
        </is>
      </c>
      <c r="V27" s="121" t="inlineStr">
        <is>
          <t>UA</t>
        </is>
      </c>
      <c r="W27" s="121" t="inlineStr">
        <is>
          <t>UA</t>
        </is>
      </c>
      <c r="X27" s="121" t="inlineStr">
        <is>
          <t>UA</t>
        </is>
      </c>
      <c r="Y27" s="121" t="inlineStr">
        <is>
          <t>UA</t>
        </is>
      </c>
      <c r="Z27" s="121" t="inlineStr">
        <is>
          <t>UA</t>
        </is>
      </c>
      <c r="AA27" s="121" t="inlineStr">
        <is>
          <t>UA</t>
        </is>
      </c>
      <c r="AB27" s="121" t="inlineStr">
        <is>
          <t>UA</t>
        </is>
      </c>
      <c r="AC27" s="121" t="inlineStr">
        <is>
          <t>UA</t>
        </is>
      </c>
      <c r="AD27" s="121" t="inlineStr">
        <is>
          <t>UA</t>
        </is>
      </c>
      <c r="AE27" s="121" t="inlineStr">
        <is>
          <t>UA</t>
        </is>
      </c>
      <c r="AF27" s="121" t="inlineStr">
        <is>
          <t>UA</t>
        </is>
      </c>
      <c r="AG27" s="121" t="inlineStr">
        <is>
          <t>UA</t>
        </is>
      </c>
      <c r="AH27" s="121" t="inlineStr">
        <is>
          <t>UA</t>
        </is>
      </c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8">
        <f>IF($A28="","",'Employee Master'!C28)</f>
        <v/>
      </c>
      <c r="D28" s="121" t="inlineStr">
        <is>
          <t>UA</t>
        </is>
      </c>
      <c r="E28" s="121" t="inlineStr">
        <is>
          <t>UA</t>
        </is>
      </c>
      <c r="F28" s="121" t="inlineStr">
        <is>
          <t>UA</t>
        </is>
      </c>
      <c r="G28" s="121" t="inlineStr">
        <is>
          <t>UA</t>
        </is>
      </c>
      <c r="H28" s="121" t="inlineStr">
        <is>
          <t>UA</t>
        </is>
      </c>
      <c r="I28" s="121" t="inlineStr">
        <is>
          <t>UA</t>
        </is>
      </c>
      <c r="J28" s="121" t="inlineStr">
        <is>
          <t>UA</t>
        </is>
      </c>
      <c r="K28" s="121" t="inlineStr">
        <is>
          <t>UA</t>
        </is>
      </c>
      <c r="L28" s="121" t="inlineStr">
        <is>
          <t>UA</t>
        </is>
      </c>
      <c r="M28" s="89" t="inlineStr">
        <is>
          <t>P</t>
        </is>
      </c>
      <c r="N28" s="89" t="inlineStr">
        <is>
          <t>P</t>
        </is>
      </c>
      <c r="O28" s="89" t="inlineStr">
        <is>
          <t>P</t>
        </is>
      </c>
      <c r="P28" s="89" t="inlineStr">
        <is>
          <t>P</t>
        </is>
      </c>
      <c r="Q28" s="89" t="inlineStr">
        <is>
          <t>P</t>
        </is>
      </c>
      <c r="R28" s="89" t="inlineStr">
        <is>
          <t>P</t>
        </is>
      </c>
      <c r="S28" s="89" t="inlineStr">
        <is>
          <t>P</t>
        </is>
      </c>
      <c r="T28" s="89" t="inlineStr">
        <is>
          <t>P</t>
        </is>
      </c>
      <c r="U28" s="89" t="inlineStr">
        <is>
          <t>P</t>
        </is>
      </c>
      <c r="V28" s="89" t="inlineStr">
        <is>
          <t>P</t>
        </is>
      </c>
      <c r="W28" s="89" t="inlineStr">
        <is>
          <t>P</t>
        </is>
      </c>
      <c r="X28" s="89" t="inlineStr">
        <is>
          <t>P</t>
        </is>
      </c>
      <c r="Y28" s="89" t="inlineStr">
        <is>
          <t>P</t>
        </is>
      </c>
      <c r="Z28" s="89" t="inlineStr">
        <is>
          <t>UA</t>
        </is>
      </c>
      <c r="AA28" s="89" t="inlineStr">
        <is>
          <t>UA</t>
        </is>
      </c>
      <c r="AB28" s="89" t="inlineStr">
        <is>
          <t>UA</t>
        </is>
      </c>
      <c r="AC28" s="89" t="inlineStr">
        <is>
          <t>UA</t>
        </is>
      </c>
      <c r="AD28" s="89" t="inlineStr">
        <is>
          <t>UA</t>
        </is>
      </c>
      <c r="AE28" s="89" t="inlineStr">
        <is>
          <t>UA</t>
        </is>
      </c>
      <c r="AF28" s="89" t="inlineStr">
        <is>
          <t>UA</t>
        </is>
      </c>
      <c r="AG28" s="89" t="inlineStr">
        <is>
          <t>UA</t>
        </is>
      </c>
      <c r="AH28" s="89" t="inlineStr">
        <is>
          <t>UA</t>
        </is>
      </c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8">
        <f>IF($A29="","",'Employee Master'!C29)</f>
        <v/>
      </c>
      <c r="D29" s="89" t="inlineStr">
        <is>
          <t>P</t>
        </is>
      </c>
      <c r="E29" s="89" t="inlineStr">
        <is>
          <t>P</t>
        </is>
      </c>
      <c r="F29" s="89" t="inlineStr">
        <is>
          <t>P</t>
        </is>
      </c>
      <c r="G29" s="89" t="inlineStr">
        <is>
          <t>P</t>
        </is>
      </c>
      <c r="H29" s="89" t="inlineStr">
        <is>
          <t>P</t>
        </is>
      </c>
      <c r="I29" s="89" t="inlineStr">
        <is>
          <t>P</t>
        </is>
      </c>
      <c r="J29" s="89" t="inlineStr">
        <is>
          <t>P</t>
        </is>
      </c>
      <c r="K29" s="89" t="inlineStr">
        <is>
          <t>P</t>
        </is>
      </c>
      <c r="L29" s="89" t="inlineStr">
        <is>
          <t>P</t>
        </is>
      </c>
      <c r="M29" s="89" t="inlineStr">
        <is>
          <t>P</t>
        </is>
      </c>
      <c r="N29" s="89" t="inlineStr">
        <is>
          <t>P</t>
        </is>
      </c>
      <c r="O29" s="89" t="inlineStr">
        <is>
          <t>P</t>
        </is>
      </c>
      <c r="P29" s="89" t="inlineStr">
        <is>
          <t>P</t>
        </is>
      </c>
      <c r="Q29" s="89" t="inlineStr">
        <is>
          <t>P</t>
        </is>
      </c>
      <c r="R29" s="89" t="inlineStr">
        <is>
          <t>P</t>
        </is>
      </c>
      <c r="S29" s="89" t="inlineStr">
        <is>
          <t>P</t>
        </is>
      </c>
      <c r="T29" s="89" t="inlineStr">
        <is>
          <t>P</t>
        </is>
      </c>
      <c r="U29" s="89" t="inlineStr">
        <is>
          <t>P</t>
        </is>
      </c>
      <c r="V29" s="89" t="inlineStr">
        <is>
          <t>P</t>
        </is>
      </c>
      <c r="W29" s="89" t="inlineStr">
        <is>
          <t>P</t>
        </is>
      </c>
      <c r="X29" s="89" t="inlineStr">
        <is>
          <t>P</t>
        </is>
      </c>
      <c r="Y29" s="89" t="inlineStr">
        <is>
          <t>P</t>
        </is>
      </c>
      <c r="Z29" s="89" t="inlineStr">
        <is>
          <t>P</t>
        </is>
      </c>
      <c r="AA29" s="89" t="inlineStr">
        <is>
          <t>P</t>
        </is>
      </c>
      <c r="AB29" s="89" t="inlineStr">
        <is>
          <t>P</t>
        </is>
      </c>
      <c r="AC29" s="89" t="inlineStr">
        <is>
          <t>P</t>
        </is>
      </c>
      <c r="AD29" s="89" t="inlineStr">
        <is>
          <t>UA</t>
        </is>
      </c>
      <c r="AE29" s="89" t="inlineStr">
        <is>
          <t>UA</t>
        </is>
      </c>
      <c r="AF29" s="89" t="inlineStr">
        <is>
          <t>UA</t>
        </is>
      </c>
      <c r="AG29" s="89" t="inlineStr">
        <is>
          <t>UA</t>
        </is>
      </c>
      <c r="AH29" s="89" t="inlineStr">
        <is>
          <t>UA</t>
        </is>
      </c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inlineStr">
        <is>
          <t>Working 2 days/week — update P days manually</t>
        </is>
      </c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8">
        <f>IF($A30="","",'Employee Master'!C30)</f>
        <v/>
      </c>
      <c r="D30" s="121" t="inlineStr">
        <is>
          <t>UA</t>
        </is>
      </c>
      <c r="E30" s="121" t="inlineStr">
        <is>
          <t>UA</t>
        </is>
      </c>
      <c r="F30" s="121" t="inlineStr">
        <is>
          <t>UA</t>
        </is>
      </c>
      <c r="G30" s="121" t="inlineStr">
        <is>
          <t>UA</t>
        </is>
      </c>
      <c r="H30" s="121" t="inlineStr">
        <is>
          <t>UA</t>
        </is>
      </c>
      <c r="I30" s="121" t="inlineStr">
        <is>
          <t>UA</t>
        </is>
      </c>
      <c r="J30" s="121" t="inlineStr">
        <is>
          <t>UA</t>
        </is>
      </c>
      <c r="K30" s="121" t="inlineStr">
        <is>
          <t>UA</t>
        </is>
      </c>
      <c r="L30" s="121" t="inlineStr">
        <is>
          <t>UA</t>
        </is>
      </c>
      <c r="M30" s="121" t="inlineStr">
        <is>
          <t>UA</t>
        </is>
      </c>
      <c r="N30" s="121" t="inlineStr">
        <is>
          <t>UA</t>
        </is>
      </c>
      <c r="O30" s="121" t="inlineStr">
        <is>
          <t>UA</t>
        </is>
      </c>
      <c r="P30" s="121" t="inlineStr">
        <is>
          <t>UA</t>
        </is>
      </c>
      <c r="Q30" s="89" t="inlineStr">
        <is>
          <t>P</t>
        </is>
      </c>
      <c r="R30" s="89" t="inlineStr">
        <is>
          <t>P</t>
        </is>
      </c>
      <c r="S30" s="89" t="inlineStr">
        <is>
          <t>P</t>
        </is>
      </c>
      <c r="T30" s="89" t="inlineStr">
        <is>
          <t>P</t>
        </is>
      </c>
      <c r="U30" s="89" t="inlineStr">
        <is>
          <t>P</t>
        </is>
      </c>
      <c r="V30" s="89" t="inlineStr">
        <is>
          <t>P</t>
        </is>
      </c>
      <c r="W30" s="89" t="inlineStr">
        <is>
          <t>P</t>
        </is>
      </c>
      <c r="X30" s="89" t="inlineStr">
        <is>
          <t>P</t>
        </is>
      </c>
      <c r="Y30" s="89" t="inlineStr">
        <is>
          <t>P</t>
        </is>
      </c>
      <c r="Z30" s="89" t="inlineStr">
        <is>
          <t>P</t>
        </is>
      </c>
      <c r="AA30" s="89" t="inlineStr">
        <is>
          <t>P</t>
        </is>
      </c>
      <c r="AB30" s="89" t="inlineStr">
        <is>
          <t>P</t>
        </is>
      </c>
      <c r="AC30" s="89" t="inlineStr">
        <is>
          <t>P</t>
        </is>
      </c>
      <c r="AD30" s="89" t="inlineStr">
        <is>
          <t>P</t>
        </is>
      </c>
      <c r="AE30" s="89" t="inlineStr">
        <is>
          <t>P</t>
        </is>
      </c>
      <c r="AF30" s="89" t="inlineStr">
        <is>
          <t>P</t>
        </is>
      </c>
      <c r="AG30" s="89" t="inlineStr">
        <is>
          <t>P</t>
        </is>
      </c>
      <c r="AH30" s="89" t="inlineStr">
        <is>
          <t>P</t>
        </is>
      </c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8">
        <f>IF($A31="","",'Employee Master'!C31)</f>
        <v/>
      </c>
      <c r="D31" s="89" t="inlineStr">
        <is>
          <t>P</t>
        </is>
      </c>
      <c r="E31" s="89" t="inlineStr">
        <is>
          <t>P</t>
        </is>
      </c>
      <c r="F31" s="89" t="inlineStr">
        <is>
          <t>P</t>
        </is>
      </c>
      <c r="G31" s="89" t="inlineStr">
        <is>
          <t>P</t>
        </is>
      </c>
      <c r="H31" s="89" t="inlineStr">
        <is>
          <t>P</t>
        </is>
      </c>
      <c r="I31" s="89" t="inlineStr">
        <is>
          <t>P</t>
        </is>
      </c>
      <c r="J31" s="89" t="inlineStr">
        <is>
          <t>P</t>
        </is>
      </c>
      <c r="K31" s="89" t="inlineStr">
        <is>
          <t>P</t>
        </is>
      </c>
      <c r="L31" s="89" t="inlineStr">
        <is>
          <t>P</t>
        </is>
      </c>
      <c r="M31" s="89" t="inlineStr">
        <is>
          <t>P</t>
        </is>
      </c>
      <c r="N31" s="89" t="inlineStr">
        <is>
          <t>P</t>
        </is>
      </c>
      <c r="O31" s="89" t="inlineStr">
        <is>
          <t>P</t>
        </is>
      </c>
      <c r="P31" s="89" t="inlineStr">
        <is>
          <t>P</t>
        </is>
      </c>
      <c r="Q31" s="89" t="inlineStr">
        <is>
          <t>P</t>
        </is>
      </c>
      <c r="R31" s="89" t="inlineStr">
        <is>
          <t>P</t>
        </is>
      </c>
      <c r="S31" s="89" t="inlineStr">
        <is>
          <t>P</t>
        </is>
      </c>
      <c r="T31" s="89" t="inlineStr">
        <is>
          <t>P</t>
        </is>
      </c>
      <c r="U31" s="89" t="inlineStr">
        <is>
          <t>P</t>
        </is>
      </c>
      <c r="V31" s="121" t="inlineStr">
        <is>
          <t>UA</t>
        </is>
      </c>
      <c r="W31" s="121" t="inlineStr">
        <is>
          <t>UA</t>
        </is>
      </c>
      <c r="X31" s="121" t="inlineStr">
        <is>
          <t>UA</t>
        </is>
      </c>
      <c r="Y31" s="121" t="inlineStr">
        <is>
          <t>UA</t>
        </is>
      </c>
      <c r="Z31" s="121" t="inlineStr">
        <is>
          <t>UA</t>
        </is>
      </c>
      <c r="AA31" s="121" t="inlineStr">
        <is>
          <t>UA</t>
        </is>
      </c>
      <c r="AB31" s="121" t="inlineStr">
        <is>
          <t>UA</t>
        </is>
      </c>
      <c r="AC31" s="121" t="inlineStr">
        <is>
          <t>UA</t>
        </is>
      </c>
      <c r="AD31" s="121" t="inlineStr">
        <is>
          <t>UA</t>
        </is>
      </c>
      <c r="AE31" s="121" t="inlineStr">
        <is>
          <t>UA</t>
        </is>
      </c>
      <c r="AF31" s="121" t="inlineStr">
        <is>
          <t>UA</t>
        </is>
      </c>
      <c r="AG31" s="121" t="inlineStr">
        <is>
          <t>UA</t>
        </is>
      </c>
      <c r="AH31" s="121" t="inlineStr">
        <is>
          <t>UA</t>
        </is>
      </c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8">
        <f>IF($A32="","",'Employee Master'!C32)</f>
        <v/>
      </c>
      <c r="D32" s="121" t="inlineStr">
        <is>
          <t>UA</t>
        </is>
      </c>
      <c r="E32" s="121" t="inlineStr">
        <is>
          <t>UA</t>
        </is>
      </c>
      <c r="F32" s="121" t="inlineStr">
        <is>
          <t>UA</t>
        </is>
      </c>
      <c r="G32" s="121" t="inlineStr">
        <is>
          <t>UA</t>
        </is>
      </c>
      <c r="H32" s="121" t="inlineStr">
        <is>
          <t>UA</t>
        </is>
      </c>
      <c r="I32" s="121" t="inlineStr">
        <is>
          <t>UA</t>
        </is>
      </c>
      <c r="J32" s="121" t="inlineStr">
        <is>
          <t>UA</t>
        </is>
      </c>
      <c r="K32" s="121" t="inlineStr">
        <is>
          <t>UA</t>
        </is>
      </c>
      <c r="L32" s="121" t="inlineStr">
        <is>
          <t>UA</t>
        </is>
      </c>
      <c r="M32" s="89" t="inlineStr">
        <is>
          <t>P</t>
        </is>
      </c>
      <c r="N32" s="121" t="inlineStr">
        <is>
          <t>UA</t>
        </is>
      </c>
      <c r="O32" s="89" t="inlineStr">
        <is>
          <t>P</t>
        </is>
      </c>
      <c r="P32" s="89" t="inlineStr">
        <is>
          <t>P</t>
        </is>
      </c>
      <c r="Q32" s="89" t="inlineStr">
        <is>
          <t>P</t>
        </is>
      </c>
      <c r="R32" s="89" t="inlineStr">
        <is>
          <t>P</t>
        </is>
      </c>
      <c r="S32" s="89" t="inlineStr">
        <is>
          <t>P</t>
        </is>
      </c>
      <c r="T32" s="89" t="inlineStr">
        <is>
          <t>P</t>
        </is>
      </c>
      <c r="U32" s="89" t="inlineStr">
        <is>
          <t>P</t>
        </is>
      </c>
      <c r="V32" s="89" t="inlineStr">
        <is>
          <t>P</t>
        </is>
      </c>
      <c r="W32" s="89" t="inlineStr">
        <is>
          <t>P</t>
        </is>
      </c>
      <c r="X32" s="89" t="inlineStr">
        <is>
          <t>P</t>
        </is>
      </c>
      <c r="Y32" s="89" t="inlineStr">
        <is>
          <t>P</t>
        </is>
      </c>
      <c r="Z32" s="89" t="inlineStr">
        <is>
          <t>P</t>
        </is>
      </c>
      <c r="AA32" s="89" t="inlineStr">
        <is>
          <t>P</t>
        </is>
      </c>
      <c r="AB32" s="89" t="inlineStr">
        <is>
          <t>P</t>
        </is>
      </c>
      <c r="AC32" s="89" t="inlineStr">
        <is>
          <t>P</t>
        </is>
      </c>
      <c r="AD32" s="89" t="inlineStr">
        <is>
          <t>P</t>
        </is>
      </c>
      <c r="AE32" s="89" t="inlineStr">
        <is>
          <t>P</t>
        </is>
      </c>
      <c r="AF32" s="89" t="inlineStr">
        <is>
          <t>P</t>
        </is>
      </c>
      <c r="AG32" s="89" t="inlineStr">
        <is>
          <t>P</t>
        </is>
      </c>
      <c r="AH32" s="89" t="inlineStr">
        <is>
          <t>P</t>
        </is>
      </c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8">
        <f>IF($A33="","",'Employee Master'!C33)</f>
        <v/>
      </c>
      <c r="D33" s="89" t="inlineStr">
        <is>
          <t>P</t>
        </is>
      </c>
      <c r="E33" s="89" t="inlineStr">
        <is>
          <t>P</t>
        </is>
      </c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  <c r="K33" s="89" t="inlineStr">
        <is>
          <t>P</t>
        </is>
      </c>
      <c r="L33" s="89" t="inlineStr">
        <is>
          <t>P</t>
        </is>
      </c>
      <c r="M33" s="89" t="inlineStr">
        <is>
          <t>P</t>
        </is>
      </c>
      <c r="N33" s="89" t="inlineStr">
        <is>
          <t>P</t>
        </is>
      </c>
      <c r="O33" s="89" t="inlineStr">
        <is>
          <t>P</t>
        </is>
      </c>
      <c r="P33" s="89" t="inlineStr">
        <is>
          <t>P</t>
        </is>
      </c>
      <c r="Q33" s="89" t="inlineStr">
        <is>
          <t>P</t>
        </is>
      </c>
      <c r="R33" s="89" t="inlineStr">
        <is>
          <t>P</t>
        </is>
      </c>
      <c r="S33" s="89" t="inlineStr">
        <is>
          <t>P</t>
        </is>
      </c>
      <c r="T33" s="89" t="inlineStr">
        <is>
          <t>P</t>
        </is>
      </c>
      <c r="U33" s="89" t="inlineStr">
        <is>
          <t>P</t>
        </is>
      </c>
      <c r="V33" s="89" t="inlineStr">
        <is>
          <t>P</t>
        </is>
      </c>
      <c r="W33" s="89" t="inlineStr">
        <is>
          <t>P</t>
        </is>
      </c>
      <c r="X33" s="89" t="inlineStr">
        <is>
          <t>P</t>
        </is>
      </c>
      <c r="Y33" s="89" t="inlineStr">
        <is>
          <t>P</t>
        </is>
      </c>
      <c r="Z33" s="89" t="inlineStr">
        <is>
          <t>P</t>
        </is>
      </c>
      <c r="AA33" s="89" t="inlineStr">
        <is>
          <t>P</t>
        </is>
      </c>
      <c r="AB33" s="89" t="inlineStr">
        <is>
          <t>P</t>
        </is>
      </c>
      <c r="AC33" s="89" t="inlineStr">
        <is>
          <t>P</t>
        </is>
      </c>
      <c r="AD33" s="89" t="inlineStr">
        <is>
          <t>P</t>
        </is>
      </c>
      <c r="AE33" s="89" t="inlineStr">
        <is>
          <t>P</t>
        </is>
      </c>
      <c r="AF33" s="89" t="inlineStr">
        <is>
          <t>P</t>
        </is>
      </c>
      <c r="AG33" s="89" t="inlineStr">
        <is>
          <t>P</t>
        </is>
      </c>
      <c r="AH33" s="89" t="inlineStr">
        <is>
          <t>P</t>
        </is>
      </c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8">
        <f>IF($A34="","",'Employee Master'!C34)</f>
        <v/>
      </c>
      <c r="D34" s="89" t="inlineStr">
        <is>
          <t>P</t>
        </is>
      </c>
      <c r="E34" s="89" t="inlineStr">
        <is>
          <t>P</t>
        </is>
      </c>
      <c r="F34" s="89" t="inlineStr">
        <is>
          <t>P</t>
        </is>
      </c>
      <c r="G34" s="89" t="inlineStr">
        <is>
          <t>P</t>
        </is>
      </c>
      <c r="H34" s="89" t="inlineStr">
        <is>
          <t>P</t>
        </is>
      </c>
      <c r="I34" s="89" t="inlineStr">
        <is>
          <t>P</t>
        </is>
      </c>
      <c r="J34" s="89" t="inlineStr">
        <is>
          <t>P</t>
        </is>
      </c>
      <c r="K34" s="89" t="inlineStr">
        <is>
          <t>P</t>
        </is>
      </c>
      <c r="L34" s="89" t="inlineStr">
        <is>
          <t>P</t>
        </is>
      </c>
      <c r="M34" s="89" t="inlineStr">
        <is>
          <t>P</t>
        </is>
      </c>
      <c r="N34" s="89" t="inlineStr">
        <is>
          <t>P</t>
        </is>
      </c>
      <c r="O34" s="89" t="inlineStr">
        <is>
          <t>P</t>
        </is>
      </c>
      <c r="P34" s="89" t="inlineStr">
        <is>
          <t>P</t>
        </is>
      </c>
      <c r="Q34" s="89" t="inlineStr">
        <is>
          <t>P</t>
        </is>
      </c>
      <c r="R34" s="89" t="inlineStr">
        <is>
          <t>P</t>
        </is>
      </c>
      <c r="S34" s="89" t="inlineStr">
        <is>
          <t>P</t>
        </is>
      </c>
      <c r="T34" s="89" t="inlineStr">
        <is>
          <t>P</t>
        </is>
      </c>
      <c r="U34" s="89" t="inlineStr">
        <is>
          <t>P</t>
        </is>
      </c>
      <c r="V34" s="89" t="inlineStr">
        <is>
          <t>P</t>
        </is>
      </c>
      <c r="W34" s="89" t="inlineStr">
        <is>
          <t>P</t>
        </is>
      </c>
      <c r="X34" s="89" t="inlineStr">
        <is>
          <t>P</t>
        </is>
      </c>
      <c r="Y34" s="89" t="inlineStr">
        <is>
          <t>P</t>
        </is>
      </c>
      <c r="Z34" s="89" t="inlineStr">
        <is>
          <t>P</t>
        </is>
      </c>
      <c r="AA34" s="89" t="inlineStr">
        <is>
          <t>P</t>
        </is>
      </c>
      <c r="AB34" s="89" t="inlineStr">
        <is>
          <t>P</t>
        </is>
      </c>
      <c r="AC34" s="89" t="inlineStr">
        <is>
          <t>P</t>
        </is>
      </c>
      <c r="AD34" s="89" t="inlineStr">
        <is>
          <t>P</t>
        </is>
      </c>
      <c r="AE34" s="89" t="inlineStr">
        <is>
          <t>P</t>
        </is>
      </c>
      <c r="AF34" s="89" t="inlineStr">
        <is>
          <t>P</t>
        </is>
      </c>
      <c r="AG34" s="89" t="inlineStr">
        <is>
          <t>P</t>
        </is>
      </c>
      <c r="AH34" s="89" t="inlineStr">
        <is>
          <t>P</t>
        </is>
      </c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8">
        <f>IF($A35="","",'Employee Master'!C35)</f>
        <v/>
      </c>
      <c r="D35" s="89" t="inlineStr">
        <is>
          <t>P</t>
        </is>
      </c>
      <c r="E35" s="89" t="inlineStr">
        <is>
          <t>P</t>
        </is>
      </c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  <c r="M35" s="89" t="inlineStr">
        <is>
          <t>P</t>
        </is>
      </c>
      <c r="N35" s="89" t="inlineStr">
        <is>
          <t>P</t>
        </is>
      </c>
      <c r="O35" s="89" t="inlineStr">
        <is>
          <t>P</t>
        </is>
      </c>
      <c r="P35" s="89" t="inlineStr">
        <is>
          <t>P</t>
        </is>
      </c>
      <c r="Q35" s="89" t="inlineStr">
        <is>
          <t>P</t>
        </is>
      </c>
      <c r="R35" s="89" t="inlineStr">
        <is>
          <t>P</t>
        </is>
      </c>
      <c r="S35" s="89" t="inlineStr">
        <is>
          <t>P</t>
        </is>
      </c>
      <c r="T35" s="89" t="inlineStr">
        <is>
          <t>P</t>
        </is>
      </c>
      <c r="U35" s="89" t="inlineStr">
        <is>
          <t>P</t>
        </is>
      </c>
      <c r="V35" s="89" t="inlineStr">
        <is>
          <t>P</t>
        </is>
      </c>
      <c r="W35" s="89" t="inlineStr">
        <is>
          <t>P</t>
        </is>
      </c>
      <c r="X35" s="89" t="inlineStr">
        <is>
          <t>P</t>
        </is>
      </c>
      <c r="Y35" s="89" t="inlineStr">
        <is>
          <t>P</t>
        </is>
      </c>
      <c r="Z35" s="89" t="inlineStr">
        <is>
          <t>P</t>
        </is>
      </c>
      <c r="AA35" s="89" t="inlineStr">
        <is>
          <t>P</t>
        </is>
      </c>
      <c r="AB35" s="89" t="inlineStr">
        <is>
          <t>P</t>
        </is>
      </c>
      <c r="AC35" s="89" t="inlineStr">
        <is>
          <t>P</t>
        </is>
      </c>
      <c r="AD35" s="89" t="inlineStr">
        <is>
          <t>P</t>
        </is>
      </c>
      <c r="AE35" s="89" t="inlineStr">
        <is>
          <t>P</t>
        </is>
      </c>
      <c r="AF35" s="89" t="inlineStr">
        <is>
          <t>P</t>
        </is>
      </c>
      <c r="AG35" s="89" t="inlineStr">
        <is>
          <t>P</t>
        </is>
      </c>
      <c r="AH35" s="89" t="inlineStr">
        <is>
          <t>P</t>
        </is>
      </c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8">
        <f>IF($A36="","",'Employee Master'!C36)</f>
        <v/>
      </c>
      <c r="D36" s="89" t="inlineStr">
        <is>
          <t>P</t>
        </is>
      </c>
      <c r="E36" s="89" t="inlineStr">
        <is>
          <t>P</t>
        </is>
      </c>
      <c r="F36" s="89" t="inlineStr">
        <is>
          <t>P</t>
        </is>
      </c>
      <c r="G36" s="89" t="inlineStr">
        <is>
          <t>P</t>
        </is>
      </c>
      <c r="H36" s="89" t="inlineStr">
        <is>
          <t>P</t>
        </is>
      </c>
      <c r="I36" s="89" t="inlineStr">
        <is>
          <t>P</t>
        </is>
      </c>
      <c r="J36" s="89" t="inlineStr">
        <is>
          <t>P</t>
        </is>
      </c>
      <c r="K36" s="89" t="inlineStr">
        <is>
          <t>P</t>
        </is>
      </c>
      <c r="L36" s="89" t="inlineStr">
        <is>
          <t>P</t>
        </is>
      </c>
      <c r="M36" s="89" t="inlineStr">
        <is>
          <t>P</t>
        </is>
      </c>
      <c r="N36" s="89" t="inlineStr">
        <is>
          <t>P</t>
        </is>
      </c>
      <c r="O36" s="89" t="inlineStr">
        <is>
          <t>P</t>
        </is>
      </c>
      <c r="P36" s="89" t="inlineStr">
        <is>
          <t>P</t>
        </is>
      </c>
      <c r="Q36" s="89" t="inlineStr">
        <is>
          <t>P</t>
        </is>
      </c>
      <c r="R36" s="89" t="inlineStr">
        <is>
          <t>P</t>
        </is>
      </c>
      <c r="S36" s="89" t="inlineStr">
        <is>
          <t>P</t>
        </is>
      </c>
      <c r="T36" s="89" t="inlineStr">
        <is>
          <t>P</t>
        </is>
      </c>
      <c r="U36" s="89" t="inlineStr">
        <is>
          <t>P</t>
        </is>
      </c>
      <c r="V36" s="89" t="inlineStr">
        <is>
          <t>P</t>
        </is>
      </c>
      <c r="W36" s="89" t="inlineStr">
        <is>
          <t>P</t>
        </is>
      </c>
      <c r="X36" s="89" t="inlineStr">
        <is>
          <t>P</t>
        </is>
      </c>
      <c r="Y36" s="89" t="inlineStr">
        <is>
          <t>P</t>
        </is>
      </c>
      <c r="Z36" s="89" t="inlineStr">
        <is>
          <t>P</t>
        </is>
      </c>
      <c r="AA36" s="89" t="inlineStr">
        <is>
          <t>P</t>
        </is>
      </c>
      <c r="AB36" s="89" t="inlineStr">
        <is>
          <t>P</t>
        </is>
      </c>
      <c r="AC36" s="89" t="inlineStr">
        <is>
          <t>P</t>
        </is>
      </c>
      <c r="AD36" s="89" t="inlineStr">
        <is>
          <t>P</t>
        </is>
      </c>
      <c r="AE36" s="89" t="inlineStr">
        <is>
          <t>P</t>
        </is>
      </c>
      <c r="AF36" s="89" t="inlineStr">
        <is>
          <t>P</t>
        </is>
      </c>
      <c r="AG36" s="89" t="inlineStr">
        <is>
          <t>P</t>
        </is>
      </c>
      <c r="AH36" s="89" t="inlineStr">
        <is>
          <t>P</t>
        </is>
      </c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8">
        <f>IF($A37="","",'Employee Master'!C37)</f>
        <v/>
      </c>
      <c r="D37" s="89" t="inlineStr">
        <is>
          <t>P</t>
        </is>
      </c>
      <c r="E37" s="89" t="inlineStr">
        <is>
          <t>P</t>
        </is>
      </c>
      <c r="F37" s="89" t="inlineStr">
        <is>
          <t>P</t>
        </is>
      </c>
      <c r="G37" s="89" t="inlineStr">
        <is>
          <t>P</t>
        </is>
      </c>
      <c r="H37" s="89" t="inlineStr">
        <is>
          <t>P</t>
        </is>
      </c>
      <c r="I37" s="89" t="inlineStr">
        <is>
          <t>P</t>
        </is>
      </c>
      <c r="J37" s="89" t="inlineStr">
        <is>
          <t>P</t>
        </is>
      </c>
      <c r="K37" s="89" t="inlineStr">
        <is>
          <t>P</t>
        </is>
      </c>
      <c r="L37" s="89" t="inlineStr">
        <is>
          <t>P</t>
        </is>
      </c>
      <c r="M37" s="89" t="inlineStr">
        <is>
          <t>P</t>
        </is>
      </c>
      <c r="N37" s="89" t="inlineStr">
        <is>
          <t>P</t>
        </is>
      </c>
      <c r="O37" s="89" t="inlineStr">
        <is>
          <t>P</t>
        </is>
      </c>
      <c r="P37" s="89" t="inlineStr">
        <is>
          <t>P</t>
        </is>
      </c>
      <c r="Q37" s="89" t="inlineStr">
        <is>
          <t>P</t>
        </is>
      </c>
      <c r="R37" s="89" t="inlineStr">
        <is>
          <t>P</t>
        </is>
      </c>
      <c r="S37" s="89" t="inlineStr">
        <is>
          <t>P</t>
        </is>
      </c>
      <c r="T37" s="89" t="inlineStr">
        <is>
          <t>P</t>
        </is>
      </c>
      <c r="U37" s="89" t="inlineStr">
        <is>
          <t>P</t>
        </is>
      </c>
      <c r="V37" s="89" t="inlineStr">
        <is>
          <t>P</t>
        </is>
      </c>
      <c r="W37" s="89" t="inlineStr">
        <is>
          <t>P</t>
        </is>
      </c>
      <c r="X37" s="89" t="inlineStr">
        <is>
          <t>P</t>
        </is>
      </c>
      <c r="Y37" s="89" t="inlineStr">
        <is>
          <t>P</t>
        </is>
      </c>
      <c r="Z37" s="89" t="inlineStr">
        <is>
          <t>P</t>
        </is>
      </c>
      <c r="AA37" s="89" t="inlineStr">
        <is>
          <t>P</t>
        </is>
      </c>
      <c r="AB37" s="89" t="inlineStr">
        <is>
          <t>P</t>
        </is>
      </c>
      <c r="AC37" s="89" t="inlineStr">
        <is>
          <t>P</t>
        </is>
      </c>
      <c r="AD37" s="89" t="inlineStr">
        <is>
          <t>P</t>
        </is>
      </c>
      <c r="AE37" s="89" t="inlineStr">
        <is>
          <t>P</t>
        </is>
      </c>
      <c r="AF37" s="89" t="inlineStr">
        <is>
          <t>P</t>
        </is>
      </c>
      <c r="AG37" s="89" t="inlineStr">
        <is>
          <t>P</t>
        </is>
      </c>
      <c r="AH37" s="89" t="inlineStr">
        <is>
          <t>P</t>
        </is>
      </c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8">
        <f>IF($A38="","",'Employee Master'!C38)</f>
        <v/>
      </c>
      <c r="D38" s="89" t="inlineStr">
        <is>
          <t>P</t>
        </is>
      </c>
      <c r="E38" s="89" t="inlineStr">
        <is>
          <t>P</t>
        </is>
      </c>
      <c r="F38" s="89" t="inlineStr">
        <is>
          <t>P</t>
        </is>
      </c>
      <c r="G38" s="89" t="inlineStr">
        <is>
          <t>P</t>
        </is>
      </c>
      <c r="H38" s="89" t="inlineStr">
        <is>
          <t>P</t>
        </is>
      </c>
      <c r="I38" s="89" t="inlineStr">
        <is>
          <t>P</t>
        </is>
      </c>
      <c r="J38" s="89" t="inlineStr">
        <is>
          <t>P</t>
        </is>
      </c>
      <c r="K38" s="89" t="inlineStr">
        <is>
          <t>P</t>
        </is>
      </c>
      <c r="L38" s="89" t="inlineStr">
        <is>
          <t>P</t>
        </is>
      </c>
      <c r="M38" s="89" t="inlineStr">
        <is>
          <t>P</t>
        </is>
      </c>
      <c r="N38" s="89" t="inlineStr">
        <is>
          <t>P</t>
        </is>
      </c>
      <c r="O38" s="89" t="inlineStr">
        <is>
          <t>P</t>
        </is>
      </c>
      <c r="P38" s="89" t="inlineStr">
        <is>
          <t>P</t>
        </is>
      </c>
      <c r="Q38" s="89" t="inlineStr">
        <is>
          <t>P</t>
        </is>
      </c>
      <c r="R38" s="89" t="inlineStr">
        <is>
          <t>P</t>
        </is>
      </c>
      <c r="S38" s="89" t="inlineStr">
        <is>
          <t>P</t>
        </is>
      </c>
      <c r="T38" s="89" t="inlineStr">
        <is>
          <t>P</t>
        </is>
      </c>
      <c r="U38" s="89" t="inlineStr">
        <is>
          <t>P</t>
        </is>
      </c>
      <c r="V38" s="89" t="inlineStr">
        <is>
          <t>P</t>
        </is>
      </c>
      <c r="W38" s="89" t="inlineStr">
        <is>
          <t>P</t>
        </is>
      </c>
      <c r="X38" s="89" t="inlineStr">
        <is>
          <t>P</t>
        </is>
      </c>
      <c r="Y38" s="89" t="inlineStr">
        <is>
          <t>P</t>
        </is>
      </c>
      <c r="Z38" s="89" t="inlineStr">
        <is>
          <t>P</t>
        </is>
      </c>
      <c r="AA38" s="89" t="inlineStr">
        <is>
          <t>P</t>
        </is>
      </c>
      <c r="AB38" s="89" t="inlineStr">
        <is>
          <t>P</t>
        </is>
      </c>
      <c r="AC38" s="89" t="inlineStr">
        <is>
          <t>P</t>
        </is>
      </c>
      <c r="AD38" s="89" t="inlineStr">
        <is>
          <t>P</t>
        </is>
      </c>
      <c r="AE38" s="89" t="inlineStr">
        <is>
          <t>P</t>
        </is>
      </c>
      <c r="AF38" s="89" t="inlineStr">
        <is>
          <t>P</t>
        </is>
      </c>
      <c r="AG38" s="89" t="inlineStr">
        <is>
          <t>P</t>
        </is>
      </c>
      <c r="AH38" s="89" t="inlineStr">
        <is>
          <t>P</t>
        </is>
      </c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8">
        <f>IF($A39="","",'Employee Master'!C39)</f>
        <v/>
      </c>
      <c r="D39" s="89" t="inlineStr">
        <is>
          <t>P</t>
        </is>
      </c>
      <c r="E39" s="89" t="inlineStr">
        <is>
          <t>P</t>
        </is>
      </c>
      <c r="F39" s="89" t="inlineStr">
        <is>
          <t>P</t>
        </is>
      </c>
      <c r="G39" s="89" t="inlineStr">
        <is>
          <t>P</t>
        </is>
      </c>
      <c r="H39" s="89" t="inlineStr">
        <is>
          <t>P</t>
        </is>
      </c>
      <c r="I39" s="89" t="inlineStr">
        <is>
          <t>P</t>
        </is>
      </c>
      <c r="J39" s="89" t="inlineStr">
        <is>
          <t>P</t>
        </is>
      </c>
      <c r="K39" s="89" t="inlineStr">
        <is>
          <t>P</t>
        </is>
      </c>
      <c r="L39" s="89" t="inlineStr">
        <is>
          <t>P</t>
        </is>
      </c>
      <c r="M39" s="89" t="inlineStr">
        <is>
          <t>P</t>
        </is>
      </c>
      <c r="N39" s="89" t="inlineStr">
        <is>
          <t>P</t>
        </is>
      </c>
      <c r="O39" s="89" t="inlineStr">
        <is>
          <t>P</t>
        </is>
      </c>
      <c r="P39" s="89" t="inlineStr">
        <is>
          <t>P</t>
        </is>
      </c>
      <c r="Q39" s="89" t="inlineStr">
        <is>
          <t>P</t>
        </is>
      </c>
      <c r="R39" s="89" t="inlineStr">
        <is>
          <t>P</t>
        </is>
      </c>
      <c r="S39" s="89" t="inlineStr">
        <is>
          <t>P</t>
        </is>
      </c>
      <c r="T39" s="89" t="inlineStr">
        <is>
          <t>P</t>
        </is>
      </c>
      <c r="U39" s="89" t="inlineStr">
        <is>
          <t>P</t>
        </is>
      </c>
      <c r="V39" s="89" t="inlineStr">
        <is>
          <t>P</t>
        </is>
      </c>
      <c r="W39" s="89" t="inlineStr">
        <is>
          <t>P</t>
        </is>
      </c>
      <c r="X39" s="89" t="inlineStr">
        <is>
          <t>P</t>
        </is>
      </c>
      <c r="Y39" s="89" t="inlineStr">
        <is>
          <t>UA</t>
        </is>
      </c>
      <c r="Z39" s="89" t="inlineStr">
        <is>
          <t>UA</t>
        </is>
      </c>
      <c r="AA39" s="89" t="inlineStr">
        <is>
          <t>UA</t>
        </is>
      </c>
      <c r="AB39" s="89" t="inlineStr">
        <is>
          <t>UA</t>
        </is>
      </c>
      <c r="AC39" s="89" t="inlineStr">
        <is>
          <t>UA</t>
        </is>
      </c>
      <c r="AD39" s="89" t="inlineStr">
        <is>
          <t>UA</t>
        </is>
      </c>
      <c r="AE39" s="89" t="inlineStr">
        <is>
          <t>UA</t>
        </is>
      </c>
      <c r="AF39" s="89" t="inlineStr">
        <is>
          <t>UA</t>
        </is>
      </c>
      <c r="AG39" s="89" t="inlineStr">
        <is>
          <t>UA</t>
        </is>
      </c>
      <c r="AH39" s="89" t="inlineStr">
        <is>
          <t>UA</t>
        </is>
      </c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8">
        <f>IF($A40="","",'Employee Master'!C40)</f>
        <v/>
      </c>
      <c r="D40" s="121" t="inlineStr">
        <is>
          <t>UA</t>
        </is>
      </c>
      <c r="E40" s="121" t="inlineStr">
        <is>
          <t>UA</t>
        </is>
      </c>
      <c r="F40" s="121" t="inlineStr">
        <is>
          <t>UA</t>
        </is>
      </c>
      <c r="G40" s="121" t="inlineStr">
        <is>
          <t>UA</t>
        </is>
      </c>
      <c r="H40" s="121" t="inlineStr">
        <is>
          <t>UA</t>
        </is>
      </c>
      <c r="I40" s="121" t="inlineStr">
        <is>
          <t>UA</t>
        </is>
      </c>
      <c r="J40" s="121" t="inlineStr">
        <is>
          <t>UA</t>
        </is>
      </c>
      <c r="K40" s="121" t="inlineStr">
        <is>
          <t>UA</t>
        </is>
      </c>
      <c r="L40" s="121" t="inlineStr">
        <is>
          <t>UA</t>
        </is>
      </c>
      <c r="M40" s="121" t="inlineStr">
        <is>
          <t>UA</t>
        </is>
      </c>
      <c r="N40" s="121" t="inlineStr">
        <is>
          <t>UA</t>
        </is>
      </c>
      <c r="O40" s="121" t="inlineStr">
        <is>
          <t>UA</t>
        </is>
      </c>
      <c r="P40" s="121" t="inlineStr">
        <is>
          <t>UA</t>
        </is>
      </c>
      <c r="Q40" s="121" t="inlineStr">
        <is>
          <t>UA</t>
        </is>
      </c>
      <c r="R40" s="121" t="inlineStr">
        <is>
          <t>UA</t>
        </is>
      </c>
      <c r="S40" s="121" t="inlineStr">
        <is>
          <t>UA</t>
        </is>
      </c>
      <c r="T40" s="121" t="inlineStr">
        <is>
          <t>UA</t>
        </is>
      </c>
      <c r="U40" s="121" t="inlineStr">
        <is>
          <t>UA</t>
        </is>
      </c>
      <c r="V40" s="89" t="inlineStr">
        <is>
          <t>UA</t>
        </is>
      </c>
      <c r="W40" s="89" t="inlineStr">
        <is>
          <t>UA</t>
        </is>
      </c>
      <c r="X40" s="89" t="inlineStr">
        <is>
          <t>UA</t>
        </is>
      </c>
      <c r="Y40" s="89" t="inlineStr">
        <is>
          <t>UA</t>
        </is>
      </c>
      <c r="Z40" s="89" t="inlineStr">
        <is>
          <t>UA</t>
        </is>
      </c>
      <c r="AA40" s="89" t="inlineStr">
        <is>
          <t>UA</t>
        </is>
      </c>
      <c r="AB40" s="89" t="inlineStr">
        <is>
          <t>UA</t>
        </is>
      </c>
      <c r="AC40" s="89" t="inlineStr">
        <is>
          <t>UA</t>
        </is>
      </c>
      <c r="AD40" s="89" t="inlineStr">
        <is>
          <t>UA</t>
        </is>
      </c>
      <c r="AE40" s="89" t="inlineStr">
        <is>
          <t>UA</t>
        </is>
      </c>
      <c r="AF40" s="89" t="inlineStr">
        <is>
          <t>UA</t>
        </is>
      </c>
      <c r="AG40" s="89" t="inlineStr">
        <is>
          <t>UA</t>
        </is>
      </c>
      <c r="AH40" s="89" t="inlineStr">
        <is>
          <t>UA</t>
        </is>
      </c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inlineStr">
        <is>
          <t>Working 2 days/week — update P days manually</t>
        </is>
      </c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8">
        <f>IF($A41="","",'Employee Master'!C41)</f>
        <v/>
      </c>
      <c r="D41" s="89" t="inlineStr">
        <is>
          <t>P</t>
        </is>
      </c>
      <c r="E41" s="89" t="inlineStr">
        <is>
          <t>P</t>
        </is>
      </c>
      <c r="F41" s="89" t="inlineStr">
        <is>
          <t>P</t>
        </is>
      </c>
      <c r="G41" s="89" t="inlineStr">
        <is>
          <t>P</t>
        </is>
      </c>
      <c r="H41" s="89" t="inlineStr">
        <is>
          <t>P</t>
        </is>
      </c>
      <c r="I41" s="89" t="inlineStr">
        <is>
          <t>P</t>
        </is>
      </c>
      <c r="J41" s="89" t="inlineStr">
        <is>
          <t>P</t>
        </is>
      </c>
      <c r="K41" s="89" t="inlineStr">
        <is>
          <t>P</t>
        </is>
      </c>
      <c r="L41" s="89" t="inlineStr">
        <is>
          <t>P</t>
        </is>
      </c>
      <c r="M41" s="89" t="inlineStr">
        <is>
          <t>P</t>
        </is>
      </c>
      <c r="N41" s="89" t="inlineStr">
        <is>
          <t>P</t>
        </is>
      </c>
      <c r="O41" s="89" t="inlineStr">
        <is>
          <t>P</t>
        </is>
      </c>
      <c r="P41" s="89" t="inlineStr">
        <is>
          <t>P</t>
        </is>
      </c>
      <c r="Q41" s="89" t="inlineStr">
        <is>
          <t>P</t>
        </is>
      </c>
      <c r="R41" s="89" t="inlineStr">
        <is>
          <t>P</t>
        </is>
      </c>
      <c r="S41" s="89" t="inlineStr">
        <is>
          <t>P</t>
        </is>
      </c>
      <c r="T41" s="89" t="inlineStr">
        <is>
          <t>P</t>
        </is>
      </c>
      <c r="U41" s="89" t="inlineStr">
        <is>
          <t>P</t>
        </is>
      </c>
      <c r="V41" s="89" t="inlineStr">
        <is>
          <t>P</t>
        </is>
      </c>
      <c r="W41" s="89" t="inlineStr">
        <is>
          <t>P</t>
        </is>
      </c>
      <c r="X41" s="89" t="inlineStr">
        <is>
          <t>P</t>
        </is>
      </c>
      <c r="Y41" s="89" t="inlineStr">
        <is>
          <t>P</t>
        </is>
      </c>
      <c r="Z41" s="89" t="inlineStr">
        <is>
          <t>P</t>
        </is>
      </c>
      <c r="AA41" s="89" t="inlineStr">
        <is>
          <t>P</t>
        </is>
      </c>
      <c r="AB41" s="89" t="inlineStr">
        <is>
          <t>P</t>
        </is>
      </c>
      <c r="AC41" s="89" t="inlineStr">
        <is>
          <t>P</t>
        </is>
      </c>
      <c r="AD41" s="89" t="inlineStr">
        <is>
          <t>P</t>
        </is>
      </c>
      <c r="AE41" s="89" t="inlineStr">
        <is>
          <t>P</t>
        </is>
      </c>
      <c r="AF41" s="89" t="inlineStr">
        <is>
          <t>P</t>
        </is>
      </c>
      <c r="AG41" s="89" t="inlineStr">
        <is>
          <t>P</t>
        </is>
      </c>
      <c r="AH41" s="89" t="inlineStr">
        <is>
          <t>P</t>
        </is>
      </c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8">
        <f>IF($A42="","",'Employee Master'!C42)</f>
        <v/>
      </c>
      <c r="D42" s="89" t="inlineStr">
        <is>
          <t>P</t>
        </is>
      </c>
      <c r="E42" s="89" t="inlineStr">
        <is>
          <t>P</t>
        </is>
      </c>
      <c r="F42" s="89" t="inlineStr">
        <is>
          <t>P</t>
        </is>
      </c>
      <c r="G42" s="89" t="inlineStr">
        <is>
          <t>P</t>
        </is>
      </c>
      <c r="H42" s="89" t="inlineStr">
        <is>
          <t>P</t>
        </is>
      </c>
      <c r="I42" s="89" t="inlineStr">
        <is>
          <t>P</t>
        </is>
      </c>
      <c r="J42" s="89" t="inlineStr">
        <is>
          <t>P</t>
        </is>
      </c>
      <c r="K42" s="89" t="inlineStr">
        <is>
          <t>P</t>
        </is>
      </c>
      <c r="L42" s="89" t="inlineStr">
        <is>
          <t>P</t>
        </is>
      </c>
      <c r="M42" s="89" t="inlineStr">
        <is>
          <t>P</t>
        </is>
      </c>
      <c r="N42" s="89" t="inlineStr">
        <is>
          <t>P</t>
        </is>
      </c>
      <c r="O42" s="89" t="inlineStr">
        <is>
          <t>P</t>
        </is>
      </c>
      <c r="P42" s="89" t="inlineStr">
        <is>
          <t>P</t>
        </is>
      </c>
      <c r="Q42" s="89" t="inlineStr">
        <is>
          <t>P</t>
        </is>
      </c>
      <c r="R42" s="89" t="inlineStr">
        <is>
          <t>P</t>
        </is>
      </c>
      <c r="S42" s="89" t="inlineStr">
        <is>
          <t>P</t>
        </is>
      </c>
      <c r="T42" s="89" t="inlineStr">
        <is>
          <t>P</t>
        </is>
      </c>
      <c r="U42" s="89" t="inlineStr">
        <is>
          <t>P</t>
        </is>
      </c>
      <c r="V42" s="89" t="inlineStr">
        <is>
          <t>P</t>
        </is>
      </c>
      <c r="W42" s="89" t="inlineStr">
        <is>
          <t>P</t>
        </is>
      </c>
      <c r="X42" s="89" t="inlineStr">
        <is>
          <t>P</t>
        </is>
      </c>
      <c r="Y42" s="89" t="inlineStr">
        <is>
          <t>P</t>
        </is>
      </c>
      <c r="Z42" s="89" t="inlineStr">
        <is>
          <t>P</t>
        </is>
      </c>
      <c r="AA42" s="89" t="inlineStr">
        <is>
          <t>P</t>
        </is>
      </c>
      <c r="AB42" s="89" t="inlineStr">
        <is>
          <t>P</t>
        </is>
      </c>
      <c r="AC42" s="89" t="inlineStr">
        <is>
          <t>P</t>
        </is>
      </c>
      <c r="AD42" s="89" t="inlineStr">
        <is>
          <t>P</t>
        </is>
      </c>
      <c r="AE42" s="89" t="inlineStr">
        <is>
          <t>P</t>
        </is>
      </c>
      <c r="AF42" s="89" t="inlineStr">
        <is>
          <t>P</t>
        </is>
      </c>
      <c r="AG42" s="89" t="inlineStr">
        <is>
          <t>P</t>
        </is>
      </c>
      <c r="AH42" s="89" t="inlineStr">
        <is>
          <t>P</t>
        </is>
      </c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8">
        <f>IF($A43="","",'Employee Master'!C43)</f>
        <v/>
      </c>
      <c r="D43" s="89" t="inlineStr">
        <is>
          <t>P</t>
        </is>
      </c>
      <c r="E43" s="89" t="inlineStr">
        <is>
          <t>P</t>
        </is>
      </c>
      <c r="F43" s="89" t="inlineStr">
        <is>
          <t>P</t>
        </is>
      </c>
      <c r="G43" s="89" t="inlineStr">
        <is>
          <t>P</t>
        </is>
      </c>
      <c r="H43" s="89" t="inlineStr">
        <is>
          <t>P</t>
        </is>
      </c>
      <c r="I43" s="89" t="inlineStr">
        <is>
          <t>P</t>
        </is>
      </c>
      <c r="J43" s="89" t="inlineStr">
        <is>
          <t>P</t>
        </is>
      </c>
      <c r="K43" s="89" t="inlineStr">
        <is>
          <t>P</t>
        </is>
      </c>
      <c r="L43" s="89" t="inlineStr">
        <is>
          <t>P</t>
        </is>
      </c>
      <c r="M43" s="89" t="inlineStr">
        <is>
          <t>P</t>
        </is>
      </c>
      <c r="N43" s="89" t="inlineStr">
        <is>
          <t>P</t>
        </is>
      </c>
      <c r="O43" s="89" t="inlineStr">
        <is>
          <t>P</t>
        </is>
      </c>
      <c r="P43" s="89" t="inlineStr">
        <is>
          <t>P</t>
        </is>
      </c>
      <c r="Q43" s="89" t="inlineStr">
        <is>
          <t>P</t>
        </is>
      </c>
      <c r="R43" s="89" t="inlineStr">
        <is>
          <t>P</t>
        </is>
      </c>
      <c r="S43" s="89" t="inlineStr">
        <is>
          <t>P</t>
        </is>
      </c>
      <c r="T43" s="89" t="inlineStr">
        <is>
          <t>P</t>
        </is>
      </c>
      <c r="U43" s="89" t="inlineStr">
        <is>
          <t>P</t>
        </is>
      </c>
      <c r="V43" s="89" t="inlineStr">
        <is>
          <t>P</t>
        </is>
      </c>
      <c r="W43" s="89" t="inlineStr">
        <is>
          <t>P</t>
        </is>
      </c>
      <c r="X43" s="89" t="inlineStr">
        <is>
          <t>P</t>
        </is>
      </c>
      <c r="Y43" s="89" t="inlineStr">
        <is>
          <t>P</t>
        </is>
      </c>
      <c r="Z43" s="89" t="inlineStr">
        <is>
          <t>P</t>
        </is>
      </c>
      <c r="AA43" s="89" t="inlineStr">
        <is>
          <t>P</t>
        </is>
      </c>
      <c r="AB43" s="89" t="inlineStr">
        <is>
          <t>P</t>
        </is>
      </c>
      <c r="AC43" s="89" t="inlineStr">
        <is>
          <t>P</t>
        </is>
      </c>
      <c r="AD43" s="89" t="inlineStr">
        <is>
          <t>P</t>
        </is>
      </c>
      <c r="AE43" s="89" t="inlineStr">
        <is>
          <t>P</t>
        </is>
      </c>
      <c r="AF43" s="89" t="inlineStr">
        <is>
          <t>P</t>
        </is>
      </c>
      <c r="AG43" s="89" t="inlineStr">
        <is>
          <t>P</t>
        </is>
      </c>
      <c r="AH43" s="89" t="inlineStr">
        <is>
          <t>P</t>
        </is>
      </c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8">
        <f>IF($A44="","",'Employee Master'!C44)</f>
        <v/>
      </c>
      <c r="D44" s="89" t="inlineStr">
        <is>
          <t>P</t>
        </is>
      </c>
      <c r="E44" s="121" t="inlineStr">
        <is>
          <t>UA</t>
        </is>
      </c>
      <c r="F44" s="121" t="inlineStr">
        <is>
          <t>UA</t>
        </is>
      </c>
      <c r="G44" s="121" t="inlineStr">
        <is>
          <t>UA</t>
        </is>
      </c>
      <c r="H44" s="121" t="inlineStr">
        <is>
          <t>UA</t>
        </is>
      </c>
      <c r="I44" s="121" t="inlineStr">
        <is>
          <t>UA</t>
        </is>
      </c>
      <c r="J44" s="121" t="inlineStr">
        <is>
          <t>UA</t>
        </is>
      </c>
      <c r="K44" s="121" t="inlineStr">
        <is>
          <t>UA</t>
        </is>
      </c>
      <c r="L44" s="121" t="inlineStr">
        <is>
          <t>UA</t>
        </is>
      </c>
      <c r="M44" s="121" t="inlineStr">
        <is>
          <t>UA</t>
        </is>
      </c>
      <c r="N44" s="121" t="inlineStr">
        <is>
          <t>UA</t>
        </is>
      </c>
      <c r="O44" s="121" t="inlineStr">
        <is>
          <t>UA</t>
        </is>
      </c>
      <c r="P44" s="121" t="inlineStr">
        <is>
          <t>UA</t>
        </is>
      </c>
      <c r="Q44" s="121" t="inlineStr">
        <is>
          <t>UA</t>
        </is>
      </c>
      <c r="R44" s="121" t="inlineStr">
        <is>
          <t>UA</t>
        </is>
      </c>
      <c r="S44" s="121" t="inlineStr">
        <is>
          <t>UA</t>
        </is>
      </c>
      <c r="T44" s="121" t="inlineStr">
        <is>
          <t>UA</t>
        </is>
      </c>
      <c r="U44" s="121" t="inlineStr">
        <is>
          <t>UA</t>
        </is>
      </c>
      <c r="V44" s="121" t="inlineStr">
        <is>
          <t>UA</t>
        </is>
      </c>
      <c r="W44" s="121" t="inlineStr">
        <is>
          <t>UA</t>
        </is>
      </c>
      <c r="X44" s="121" t="inlineStr">
        <is>
          <t>UA</t>
        </is>
      </c>
      <c r="Y44" s="121" t="inlineStr">
        <is>
          <t>UA</t>
        </is>
      </c>
      <c r="Z44" s="121" t="inlineStr">
        <is>
          <t>UA</t>
        </is>
      </c>
      <c r="AA44" s="121" t="inlineStr">
        <is>
          <t>UA</t>
        </is>
      </c>
      <c r="AB44" s="121" t="inlineStr">
        <is>
          <t>UA</t>
        </is>
      </c>
      <c r="AC44" s="121" t="inlineStr">
        <is>
          <t>UA</t>
        </is>
      </c>
      <c r="AD44" s="121" t="inlineStr">
        <is>
          <t>UA</t>
        </is>
      </c>
      <c r="AE44" s="121" t="inlineStr">
        <is>
          <t>UA</t>
        </is>
      </c>
      <c r="AF44" s="121" t="inlineStr">
        <is>
          <t>UA</t>
        </is>
      </c>
      <c r="AG44" s="121" t="inlineStr">
        <is>
          <t>UA</t>
        </is>
      </c>
      <c r="AH44" s="89" t="inlineStr">
        <is>
          <t>P</t>
        </is>
      </c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8">
        <f>IF($A45="","",'Employee Master'!C45)</f>
        <v/>
      </c>
      <c r="D45" s="89" t="inlineStr">
        <is>
          <t>P</t>
        </is>
      </c>
      <c r="E45" s="89" t="inlineStr">
        <is>
          <t>P</t>
        </is>
      </c>
      <c r="F45" s="89" t="inlineStr">
        <is>
          <t>P</t>
        </is>
      </c>
      <c r="G45" s="89" t="inlineStr">
        <is>
          <t>P</t>
        </is>
      </c>
      <c r="H45" s="89" t="inlineStr">
        <is>
          <t>P</t>
        </is>
      </c>
      <c r="I45" s="89" t="inlineStr">
        <is>
          <t>P</t>
        </is>
      </c>
      <c r="J45" s="89" t="inlineStr">
        <is>
          <t>P</t>
        </is>
      </c>
      <c r="K45" s="89" t="inlineStr">
        <is>
          <t>P</t>
        </is>
      </c>
      <c r="L45" s="89" t="inlineStr">
        <is>
          <t>P</t>
        </is>
      </c>
      <c r="M45" s="89" t="inlineStr">
        <is>
          <t>P</t>
        </is>
      </c>
      <c r="N45" s="89" t="inlineStr">
        <is>
          <t>P</t>
        </is>
      </c>
      <c r="O45" s="89" t="inlineStr">
        <is>
          <t>P</t>
        </is>
      </c>
      <c r="P45" s="89" t="inlineStr">
        <is>
          <t>P</t>
        </is>
      </c>
      <c r="Q45" s="89" t="inlineStr">
        <is>
          <t>P</t>
        </is>
      </c>
      <c r="R45" s="89" t="inlineStr">
        <is>
          <t>P</t>
        </is>
      </c>
      <c r="S45" s="89" t="inlineStr">
        <is>
          <t>P</t>
        </is>
      </c>
      <c r="T45" s="89" t="inlineStr">
        <is>
          <t>P</t>
        </is>
      </c>
      <c r="U45" s="89" t="inlineStr">
        <is>
          <t>P</t>
        </is>
      </c>
      <c r="V45" s="89" t="inlineStr">
        <is>
          <t>P</t>
        </is>
      </c>
      <c r="W45" s="89" t="inlineStr">
        <is>
          <t>P</t>
        </is>
      </c>
      <c r="X45" s="89" t="inlineStr">
        <is>
          <t>P</t>
        </is>
      </c>
      <c r="Y45" s="89" t="inlineStr">
        <is>
          <t>P</t>
        </is>
      </c>
      <c r="Z45" s="89" t="inlineStr">
        <is>
          <t>P</t>
        </is>
      </c>
      <c r="AA45" s="89" t="inlineStr">
        <is>
          <t>P</t>
        </is>
      </c>
      <c r="AB45" s="89" t="inlineStr">
        <is>
          <t>P</t>
        </is>
      </c>
      <c r="AC45" s="89" t="inlineStr">
        <is>
          <t>P</t>
        </is>
      </c>
      <c r="AD45" s="89" t="inlineStr">
        <is>
          <t>P</t>
        </is>
      </c>
      <c r="AE45" s="89" t="inlineStr">
        <is>
          <t>P</t>
        </is>
      </c>
      <c r="AF45" s="89" t="inlineStr">
        <is>
          <t>P</t>
        </is>
      </c>
      <c r="AG45" s="89" t="inlineStr">
        <is>
          <t>P</t>
        </is>
      </c>
      <c r="AH45" s="89" t="inlineStr">
        <is>
          <t>P</t>
        </is>
      </c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8">
        <f>IF($A46="","",'Employee Master'!C46)</f>
        <v/>
      </c>
      <c r="D46" s="89" t="inlineStr">
        <is>
          <t>P</t>
        </is>
      </c>
      <c r="E46" s="89" t="inlineStr">
        <is>
          <t>P</t>
        </is>
      </c>
      <c r="F46" s="89" t="inlineStr">
        <is>
          <t>P</t>
        </is>
      </c>
      <c r="G46" s="89" t="inlineStr">
        <is>
          <t>P</t>
        </is>
      </c>
      <c r="H46" s="89" t="inlineStr">
        <is>
          <t>P</t>
        </is>
      </c>
      <c r="I46" s="89" t="inlineStr">
        <is>
          <t>P</t>
        </is>
      </c>
      <c r="J46" s="89" t="inlineStr">
        <is>
          <t>P</t>
        </is>
      </c>
      <c r="K46" s="89" t="inlineStr">
        <is>
          <t>P</t>
        </is>
      </c>
      <c r="L46" s="89" t="inlineStr">
        <is>
          <t>P</t>
        </is>
      </c>
      <c r="M46" s="89" t="inlineStr">
        <is>
          <t>P</t>
        </is>
      </c>
      <c r="N46" s="89" t="inlineStr">
        <is>
          <t>P</t>
        </is>
      </c>
      <c r="O46" s="89" t="inlineStr">
        <is>
          <t>P</t>
        </is>
      </c>
      <c r="P46" s="89" t="inlineStr">
        <is>
          <t>P</t>
        </is>
      </c>
      <c r="Q46" s="89" t="inlineStr">
        <is>
          <t>P</t>
        </is>
      </c>
      <c r="R46" s="89" t="inlineStr">
        <is>
          <t>P</t>
        </is>
      </c>
      <c r="S46" s="89" t="inlineStr">
        <is>
          <t>P</t>
        </is>
      </c>
      <c r="T46" s="89" t="inlineStr">
        <is>
          <t>P</t>
        </is>
      </c>
      <c r="U46" s="89" t="inlineStr">
        <is>
          <t>P</t>
        </is>
      </c>
      <c r="V46" s="89" t="inlineStr">
        <is>
          <t>P</t>
        </is>
      </c>
      <c r="W46" s="89" t="inlineStr">
        <is>
          <t>P</t>
        </is>
      </c>
      <c r="X46" s="89" t="inlineStr">
        <is>
          <t>P</t>
        </is>
      </c>
      <c r="Y46" s="89" t="inlineStr">
        <is>
          <t>P</t>
        </is>
      </c>
      <c r="Z46" s="89" t="inlineStr">
        <is>
          <t>P</t>
        </is>
      </c>
      <c r="AA46" s="89" t="inlineStr">
        <is>
          <t>P</t>
        </is>
      </c>
      <c r="AB46" s="89" t="inlineStr">
        <is>
          <t>P</t>
        </is>
      </c>
      <c r="AC46" s="89" t="inlineStr">
        <is>
          <t>P</t>
        </is>
      </c>
      <c r="AD46" s="89" t="inlineStr">
        <is>
          <t>P</t>
        </is>
      </c>
      <c r="AE46" s="89" t="inlineStr">
        <is>
          <t>P</t>
        </is>
      </c>
      <c r="AF46" s="89" t="inlineStr">
        <is>
          <t>P</t>
        </is>
      </c>
      <c r="AG46" s="89" t="inlineStr">
        <is>
          <t>P</t>
        </is>
      </c>
      <c r="AH46" s="89" t="inlineStr">
        <is>
          <t>P</t>
        </is>
      </c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8">
        <f>IF($A47="","",'Employee Master'!C47)</f>
        <v/>
      </c>
      <c r="D47" s="89" t="inlineStr">
        <is>
          <t>P</t>
        </is>
      </c>
      <c r="E47" s="89" t="inlineStr">
        <is>
          <t>P</t>
        </is>
      </c>
      <c r="F47" s="89" t="inlineStr">
        <is>
          <t>P</t>
        </is>
      </c>
      <c r="G47" s="89" t="inlineStr">
        <is>
          <t>P</t>
        </is>
      </c>
      <c r="H47" s="89" t="inlineStr">
        <is>
          <t>P</t>
        </is>
      </c>
      <c r="I47" s="121" t="inlineStr">
        <is>
          <t>UA</t>
        </is>
      </c>
      <c r="J47" s="89" t="inlineStr">
        <is>
          <t>P</t>
        </is>
      </c>
      <c r="K47" s="89" t="inlineStr">
        <is>
          <t>P</t>
        </is>
      </c>
      <c r="L47" s="89" t="inlineStr">
        <is>
          <t>P</t>
        </is>
      </c>
      <c r="M47" s="89" t="inlineStr">
        <is>
          <t>P</t>
        </is>
      </c>
      <c r="N47" s="89" t="inlineStr">
        <is>
          <t>P</t>
        </is>
      </c>
      <c r="O47" s="89" t="inlineStr">
        <is>
          <t>P</t>
        </is>
      </c>
      <c r="P47" s="89" t="inlineStr">
        <is>
          <t>P</t>
        </is>
      </c>
      <c r="Q47" s="89" t="inlineStr">
        <is>
          <t>P</t>
        </is>
      </c>
      <c r="R47" s="89" t="inlineStr">
        <is>
          <t>P</t>
        </is>
      </c>
      <c r="S47" s="89" t="inlineStr">
        <is>
          <t>P</t>
        </is>
      </c>
      <c r="T47" s="89" t="inlineStr">
        <is>
          <t>P</t>
        </is>
      </c>
      <c r="U47" s="89" t="inlineStr">
        <is>
          <t>P</t>
        </is>
      </c>
      <c r="V47" s="89" t="inlineStr">
        <is>
          <t>P</t>
        </is>
      </c>
      <c r="W47" s="89" t="inlineStr">
        <is>
          <t>P</t>
        </is>
      </c>
      <c r="X47" s="89" t="inlineStr">
        <is>
          <t>P</t>
        </is>
      </c>
      <c r="Y47" s="89" t="inlineStr">
        <is>
          <t>P</t>
        </is>
      </c>
      <c r="Z47" s="89" t="inlineStr">
        <is>
          <t>P</t>
        </is>
      </c>
      <c r="AA47" s="89" t="inlineStr">
        <is>
          <t>P</t>
        </is>
      </c>
      <c r="AB47" s="89" t="inlineStr">
        <is>
          <t>P</t>
        </is>
      </c>
      <c r="AC47" s="89" t="inlineStr">
        <is>
          <t>P</t>
        </is>
      </c>
      <c r="AD47" s="89" t="inlineStr">
        <is>
          <t>P</t>
        </is>
      </c>
      <c r="AE47" s="89" t="inlineStr">
        <is>
          <t>P</t>
        </is>
      </c>
      <c r="AF47" s="89" t="inlineStr">
        <is>
          <t>P</t>
        </is>
      </c>
      <c r="AG47" s="89" t="inlineStr">
        <is>
          <t>UA</t>
        </is>
      </c>
      <c r="AH47" s="89" t="inlineStr">
        <is>
          <t>UA</t>
        </is>
      </c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inlineStr">
        <is>
          <t>Working 2 days/week — update P days manually</t>
        </is>
      </c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8">
        <f>IF($A48="","",'Employee Master'!C48)</f>
        <v/>
      </c>
      <c r="D48" s="121" t="inlineStr">
        <is>
          <t>UA</t>
        </is>
      </c>
      <c r="E48" s="121" t="inlineStr">
        <is>
          <t>UA</t>
        </is>
      </c>
      <c r="F48" s="121" t="inlineStr">
        <is>
          <t>UA</t>
        </is>
      </c>
      <c r="G48" s="121" t="inlineStr">
        <is>
          <t>UA</t>
        </is>
      </c>
      <c r="H48" s="121" t="inlineStr">
        <is>
          <t>UA</t>
        </is>
      </c>
      <c r="I48" s="121" t="inlineStr">
        <is>
          <t>UA</t>
        </is>
      </c>
      <c r="J48" s="121" t="inlineStr">
        <is>
          <t>UA</t>
        </is>
      </c>
      <c r="K48" s="121" t="inlineStr">
        <is>
          <t>UA</t>
        </is>
      </c>
      <c r="L48" s="121" t="inlineStr">
        <is>
          <t>UA</t>
        </is>
      </c>
      <c r="M48" s="121" t="inlineStr">
        <is>
          <t>UA</t>
        </is>
      </c>
      <c r="N48" s="121" t="inlineStr">
        <is>
          <t>UA</t>
        </is>
      </c>
      <c r="O48" s="121" t="inlineStr">
        <is>
          <t>UA</t>
        </is>
      </c>
      <c r="P48" s="121" t="inlineStr">
        <is>
          <t>UA</t>
        </is>
      </c>
      <c r="Q48" s="121" t="inlineStr">
        <is>
          <t>UA</t>
        </is>
      </c>
      <c r="R48" s="121" t="inlineStr">
        <is>
          <t>UA</t>
        </is>
      </c>
      <c r="S48" s="121" t="inlineStr">
        <is>
          <t>UA</t>
        </is>
      </c>
      <c r="T48" s="121" t="inlineStr">
        <is>
          <t>UA</t>
        </is>
      </c>
      <c r="U48" s="121" t="inlineStr">
        <is>
          <t>UA</t>
        </is>
      </c>
      <c r="V48" s="89" t="inlineStr">
        <is>
          <t>P</t>
        </is>
      </c>
      <c r="W48" s="89" t="inlineStr">
        <is>
          <t>P</t>
        </is>
      </c>
      <c r="X48" s="89" t="inlineStr">
        <is>
          <t>P</t>
        </is>
      </c>
      <c r="Y48" s="89" t="inlineStr">
        <is>
          <t>P</t>
        </is>
      </c>
      <c r="Z48" s="121" t="inlineStr">
        <is>
          <t>UA</t>
        </is>
      </c>
      <c r="AA48" s="121" t="inlineStr">
        <is>
          <t>UA</t>
        </is>
      </c>
      <c r="AB48" s="121" t="inlineStr">
        <is>
          <t>UA</t>
        </is>
      </c>
      <c r="AC48" s="121" t="inlineStr">
        <is>
          <t>UA</t>
        </is>
      </c>
      <c r="AD48" s="89" t="inlineStr">
        <is>
          <t>P</t>
        </is>
      </c>
      <c r="AE48" s="89" t="inlineStr">
        <is>
          <t>P</t>
        </is>
      </c>
      <c r="AF48" s="89" t="inlineStr">
        <is>
          <t>P</t>
        </is>
      </c>
      <c r="AG48" s="89" t="inlineStr">
        <is>
          <t>P</t>
        </is>
      </c>
      <c r="AH48" s="89" t="inlineStr">
        <is>
          <t>P</t>
        </is>
      </c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8">
        <f>IF($A49="","",'Employee Master'!C49)</f>
        <v/>
      </c>
      <c r="D49" s="89" t="inlineStr">
        <is>
          <t>P</t>
        </is>
      </c>
      <c r="E49" s="89" t="inlineStr">
        <is>
          <t>P</t>
        </is>
      </c>
      <c r="F49" s="89" t="inlineStr">
        <is>
          <t>P</t>
        </is>
      </c>
      <c r="G49" s="89" t="inlineStr">
        <is>
          <t>P</t>
        </is>
      </c>
      <c r="H49" s="89" t="inlineStr">
        <is>
          <t>P</t>
        </is>
      </c>
      <c r="I49" s="89" t="inlineStr">
        <is>
          <t>P</t>
        </is>
      </c>
      <c r="J49" s="89" t="inlineStr">
        <is>
          <t>P</t>
        </is>
      </c>
      <c r="K49" s="121" t="inlineStr">
        <is>
          <t>UA</t>
        </is>
      </c>
      <c r="L49" s="89" t="inlineStr">
        <is>
          <t>P</t>
        </is>
      </c>
      <c r="M49" s="89" t="inlineStr">
        <is>
          <t>P</t>
        </is>
      </c>
      <c r="N49" s="89" t="inlineStr">
        <is>
          <t>P</t>
        </is>
      </c>
      <c r="O49" s="121" t="inlineStr">
        <is>
          <t>UA</t>
        </is>
      </c>
      <c r="P49" s="121" t="inlineStr">
        <is>
          <t>UA</t>
        </is>
      </c>
      <c r="Q49" s="121" t="inlineStr">
        <is>
          <t>UA</t>
        </is>
      </c>
      <c r="R49" s="121" t="inlineStr">
        <is>
          <t>UA</t>
        </is>
      </c>
      <c r="S49" s="121" t="inlineStr">
        <is>
          <t>UA</t>
        </is>
      </c>
      <c r="T49" s="121" t="inlineStr">
        <is>
          <t>UA</t>
        </is>
      </c>
      <c r="U49" s="121" t="inlineStr">
        <is>
          <t>UA</t>
        </is>
      </c>
      <c r="V49" s="121" t="inlineStr">
        <is>
          <t>UA</t>
        </is>
      </c>
      <c r="W49" s="121" t="inlineStr">
        <is>
          <t>UA</t>
        </is>
      </c>
      <c r="X49" s="121" t="inlineStr">
        <is>
          <t>UA</t>
        </is>
      </c>
      <c r="Y49" s="121" t="inlineStr">
        <is>
          <t>UA</t>
        </is>
      </c>
      <c r="Z49" s="121" t="inlineStr">
        <is>
          <t>UA</t>
        </is>
      </c>
      <c r="AA49" s="89" t="inlineStr">
        <is>
          <t>P</t>
        </is>
      </c>
      <c r="AB49" s="89" t="inlineStr">
        <is>
          <t>P</t>
        </is>
      </c>
      <c r="AC49" s="89" t="inlineStr">
        <is>
          <t>P</t>
        </is>
      </c>
      <c r="AD49" s="89" t="inlineStr">
        <is>
          <t>P</t>
        </is>
      </c>
      <c r="AE49" s="89" t="inlineStr">
        <is>
          <t>P</t>
        </is>
      </c>
      <c r="AF49" s="89" t="inlineStr">
        <is>
          <t>P</t>
        </is>
      </c>
      <c r="AG49" s="89" t="inlineStr">
        <is>
          <t>P</t>
        </is>
      </c>
      <c r="AH49" s="89" t="inlineStr">
        <is>
          <t>P</t>
        </is>
      </c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8">
        <f>IF($A50="","",'Employee Master'!C50)</f>
        <v/>
      </c>
      <c r="D50" s="121" t="inlineStr">
        <is>
          <t>UA</t>
        </is>
      </c>
      <c r="E50" s="121" t="inlineStr">
        <is>
          <t>UA</t>
        </is>
      </c>
      <c r="F50" s="121" t="inlineStr">
        <is>
          <t>UA</t>
        </is>
      </c>
      <c r="G50" s="121" t="inlineStr">
        <is>
          <t>UA</t>
        </is>
      </c>
      <c r="H50" s="121" t="inlineStr">
        <is>
          <t>UA</t>
        </is>
      </c>
      <c r="I50" s="121" t="inlineStr">
        <is>
          <t>UA</t>
        </is>
      </c>
      <c r="J50" s="121" t="inlineStr">
        <is>
          <t>UA</t>
        </is>
      </c>
      <c r="K50" s="121" t="inlineStr">
        <is>
          <t>UA</t>
        </is>
      </c>
      <c r="L50" s="121" t="inlineStr">
        <is>
          <t>UA</t>
        </is>
      </c>
      <c r="M50" s="121" t="inlineStr">
        <is>
          <t>UA</t>
        </is>
      </c>
      <c r="N50" s="121" t="inlineStr">
        <is>
          <t>UA</t>
        </is>
      </c>
      <c r="O50" s="121" t="inlineStr">
        <is>
          <t>UA</t>
        </is>
      </c>
      <c r="P50" s="121" t="inlineStr">
        <is>
          <t>UA</t>
        </is>
      </c>
      <c r="Q50" s="121" t="inlineStr">
        <is>
          <t>UA</t>
        </is>
      </c>
      <c r="R50" s="121" t="inlineStr">
        <is>
          <t>UA</t>
        </is>
      </c>
      <c r="S50" s="121" t="inlineStr">
        <is>
          <t>UA</t>
        </is>
      </c>
      <c r="T50" s="121" t="inlineStr">
        <is>
          <t>UA</t>
        </is>
      </c>
      <c r="U50" s="121" t="inlineStr">
        <is>
          <t>UA</t>
        </is>
      </c>
      <c r="V50" s="121" t="inlineStr">
        <is>
          <t>UA</t>
        </is>
      </c>
      <c r="W50" s="121" t="inlineStr">
        <is>
          <t>UA</t>
        </is>
      </c>
      <c r="X50" s="121" t="inlineStr">
        <is>
          <t>UA</t>
        </is>
      </c>
      <c r="Y50" s="121" t="inlineStr">
        <is>
          <t>UA</t>
        </is>
      </c>
      <c r="Z50" s="121" t="inlineStr">
        <is>
          <t>UA</t>
        </is>
      </c>
      <c r="AA50" s="121" t="inlineStr">
        <is>
          <t>UA</t>
        </is>
      </c>
      <c r="AB50" s="89" t="inlineStr">
        <is>
          <t>P</t>
        </is>
      </c>
      <c r="AC50" s="89" t="inlineStr">
        <is>
          <t>P</t>
        </is>
      </c>
      <c r="AD50" s="89" t="inlineStr">
        <is>
          <t>P</t>
        </is>
      </c>
      <c r="AE50" s="89" t="inlineStr">
        <is>
          <t>P</t>
        </is>
      </c>
      <c r="AF50" s="89" t="inlineStr">
        <is>
          <t>P</t>
        </is>
      </c>
      <c r="AG50" s="89" t="inlineStr">
        <is>
          <t>P</t>
        </is>
      </c>
      <c r="AH50" s="89" t="inlineStr">
        <is>
          <t>P</t>
        </is>
      </c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8">
        <f>IF($A51="","",'Employee Master'!C51)</f>
        <v/>
      </c>
      <c r="D51" s="89" t="inlineStr">
        <is>
          <t>P</t>
        </is>
      </c>
      <c r="E51" s="89" t="inlineStr">
        <is>
          <t>P</t>
        </is>
      </c>
      <c r="F51" s="89" t="inlineStr">
        <is>
          <t>P</t>
        </is>
      </c>
      <c r="G51" s="89" t="inlineStr">
        <is>
          <t>P</t>
        </is>
      </c>
      <c r="H51" s="89" t="inlineStr">
        <is>
          <t>P</t>
        </is>
      </c>
      <c r="I51" s="89" t="inlineStr">
        <is>
          <t>P</t>
        </is>
      </c>
      <c r="J51" s="89" t="inlineStr">
        <is>
          <t>P</t>
        </is>
      </c>
      <c r="K51" s="89" t="inlineStr">
        <is>
          <t>P</t>
        </is>
      </c>
      <c r="L51" s="89" t="inlineStr">
        <is>
          <t>P</t>
        </is>
      </c>
      <c r="M51" s="89" t="inlineStr">
        <is>
          <t>P</t>
        </is>
      </c>
      <c r="N51" s="89" t="inlineStr">
        <is>
          <t>P</t>
        </is>
      </c>
      <c r="O51" s="89" t="inlineStr">
        <is>
          <t>P</t>
        </is>
      </c>
      <c r="P51" s="89" t="inlineStr">
        <is>
          <t>P</t>
        </is>
      </c>
      <c r="Q51" s="89" t="inlineStr">
        <is>
          <t>P</t>
        </is>
      </c>
      <c r="R51" s="89" t="inlineStr">
        <is>
          <t>P</t>
        </is>
      </c>
      <c r="S51" s="89" t="inlineStr">
        <is>
          <t>P</t>
        </is>
      </c>
      <c r="T51" s="89" t="inlineStr">
        <is>
          <t>P</t>
        </is>
      </c>
      <c r="U51" s="89" t="inlineStr">
        <is>
          <t>P</t>
        </is>
      </c>
      <c r="V51" s="89" t="inlineStr">
        <is>
          <t>P</t>
        </is>
      </c>
      <c r="W51" s="89" t="inlineStr">
        <is>
          <t>P</t>
        </is>
      </c>
      <c r="X51" s="89" t="inlineStr">
        <is>
          <t>P</t>
        </is>
      </c>
      <c r="Y51" s="89" t="inlineStr">
        <is>
          <t>P</t>
        </is>
      </c>
      <c r="Z51" s="89" t="inlineStr">
        <is>
          <t>P</t>
        </is>
      </c>
      <c r="AA51" s="89" t="inlineStr">
        <is>
          <t>P</t>
        </is>
      </c>
      <c r="AB51" s="89" t="inlineStr">
        <is>
          <t>P</t>
        </is>
      </c>
      <c r="AC51" s="89" t="inlineStr">
        <is>
          <t>P</t>
        </is>
      </c>
      <c r="AD51" s="89" t="inlineStr">
        <is>
          <t>P</t>
        </is>
      </c>
      <c r="AE51" s="89" t="inlineStr">
        <is>
          <t>P</t>
        </is>
      </c>
      <c r="AF51" s="89" t="inlineStr">
        <is>
          <t>P</t>
        </is>
      </c>
      <c r="AG51" s="89" t="inlineStr">
        <is>
          <t>P</t>
        </is>
      </c>
      <c r="AH51" s="89" t="inlineStr">
        <is>
          <t>P</t>
        </is>
      </c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8">
        <f>IF($A52="","",'Employee Master'!C52)</f>
        <v/>
      </c>
      <c r="D52" s="121" t="inlineStr">
        <is>
          <t>UA</t>
        </is>
      </c>
      <c r="E52" s="89" t="inlineStr">
        <is>
          <t>P</t>
        </is>
      </c>
      <c r="F52" s="89" t="inlineStr">
        <is>
          <t>P</t>
        </is>
      </c>
      <c r="G52" s="89" t="inlineStr">
        <is>
          <t>P</t>
        </is>
      </c>
      <c r="H52" s="89" t="inlineStr">
        <is>
          <t>P</t>
        </is>
      </c>
      <c r="I52" s="89" t="inlineStr">
        <is>
          <t>P</t>
        </is>
      </c>
      <c r="J52" s="89" t="inlineStr">
        <is>
          <t>P</t>
        </is>
      </c>
      <c r="K52" s="89" t="inlineStr">
        <is>
          <t>P</t>
        </is>
      </c>
      <c r="L52" s="89" t="inlineStr">
        <is>
          <t>P</t>
        </is>
      </c>
      <c r="M52" s="89" t="inlineStr">
        <is>
          <t>P</t>
        </is>
      </c>
      <c r="N52" s="89" t="inlineStr">
        <is>
          <t>P</t>
        </is>
      </c>
      <c r="O52" s="89" t="inlineStr">
        <is>
          <t>P</t>
        </is>
      </c>
      <c r="P52" s="89" t="inlineStr">
        <is>
          <t>P</t>
        </is>
      </c>
      <c r="Q52" s="89" t="inlineStr">
        <is>
          <t>P</t>
        </is>
      </c>
      <c r="R52" s="89" t="inlineStr">
        <is>
          <t>P</t>
        </is>
      </c>
      <c r="S52" s="89" t="inlineStr">
        <is>
          <t>P</t>
        </is>
      </c>
      <c r="T52" s="89" t="inlineStr">
        <is>
          <t>P</t>
        </is>
      </c>
      <c r="U52" s="89" t="inlineStr">
        <is>
          <t>P</t>
        </is>
      </c>
      <c r="V52" s="89" t="inlineStr">
        <is>
          <t>P</t>
        </is>
      </c>
      <c r="W52" s="89" t="inlineStr">
        <is>
          <t>P</t>
        </is>
      </c>
      <c r="X52" s="89" t="inlineStr">
        <is>
          <t>P</t>
        </is>
      </c>
      <c r="Y52" s="89" t="inlineStr">
        <is>
          <t>P</t>
        </is>
      </c>
      <c r="Z52" s="121" t="inlineStr">
        <is>
          <t>UA</t>
        </is>
      </c>
      <c r="AA52" s="121" t="inlineStr">
        <is>
          <t>UA</t>
        </is>
      </c>
      <c r="AB52" s="121" t="inlineStr">
        <is>
          <t>UA</t>
        </is>
      </c>
      <c r="AC52" s="121" t="inlineStr">
        <is>
          <t>UA</t>
        </is>
      </c>
      <c r="AD52" s="121" t="inlineStr">
        <is>
          <t>UA</t>
        </is>
      </c>
      <c r="AE52" s="121" t="inlineStr">
        <is>
          <t>UA</t>
        </is>
      </c>
      <c r="AF52" s="121" t="inlineStr">
        <is>
          <t>UA</t>
        </is>
      </c>
      <c r="AG52" s="89" t="inlineStr">
        <is>
          <t>P</t>
        </is>
      </c>
      <c r="AH52" s="89" t="inlineStr">
        <is>
          <t>P</t>
        </is>
      </c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8">
        <f>IF($A53="","",'Employee Master'!C53)</f>
        <v/>
      </c>
      <c r="D53" s="89" t="inlineStr">
        <is>
          <t>P</t>
        </is>
      </c>
      <c r="E53" s="89" t="inlineStr">
        <is>
          <t>P</t>
        </is>
      </c>
      <c r="F53" s="89" t="inlineStr">
        <is>
          <t>P</t>
        </is>
      </c>
      <c r="G53" s="89" t="inlineStr">
        <is>
          <t>P</t>
        </is>
      </c>
      <c r="H53" s="89" t="inlineStr">
        <is>
          <t>P</t>
        </is>
      </c>
      <c r="I53" s="89" t="inlineStr">
        <is>
          <t>P</t>
        </is>
      </c>
      <c r="J53" s="89" t="inlineStr">
        <is>
          <t>P</t>
        </is>
      </c>
      <c r="K53" s="89" t="inlineStr">
        <is>
          <t>P</t>
        </is>
      </c>
      <c r="L53" s="89" t="inlineStr">
        <is>
          <t>P</t>
        </is>
      </c>
      <c r="M53" s="89" t="inlineStr">
        <is>
          <t>P</t>
        </is>
      </c>
      <c r="N53" s="89" t="inlineStr">
        <is>
          <t>P</t>
        </is>
      </c>
      <c r="O53" s="89" t="inlineStr">
        <is>
          <t>P</t>
        </is>
      </c>
      <c r="P53" s="89" t="inlineStr">
        <is>
          <t>P</t>
        </is>
      </c>
      <c r="Q53" s="89" t="inlineStr">
        <is>
          <t>P</t>
        </is>
      </c>
      <c r="R53" s="89" t="inlineStr">
        <is>
          <t>P</t>
        </is>
      </c>
      <c r="S53" s="89" t="inlineStr">
        <is>
          <t>P</t>
        </is>
      </c>
      <c r="T53" s="89" t="inlineStr">
        <is>
          <t>P</t>
        </is>
      </c>
      <c r="U53" s="89" t="inlineStr">
        <is>
          <t>P</t>
        </is>
      </c>
      <c r="V53" s="89" t="inlineStr">
        <is>
          <t>P</t>
        </is>
      </c>
      <c r="W53" s="89" t="inlineStr">
        <is>
          <t>P</t>
        </is>
      </c>
      <c r="X53" s="89" t="inlineStr">
        <is>
          <t>P</t>
        </is>
      </c>
      <c r="Y53" s="89" t="inlineStr">
        <is>
          <t>P</t>
        </is>
      </c>
      <c r="Z53" s="89" t="inlineStr">
        <is>
          <t>P</t>
        </is>
      </c>
      <c r="AA53" s="89" t="inlineStr">
        <is>
          <t>P</t>
        </is>
      </c>
      <c r="AB53" s="89" t="inlineStr">
        <is>
          <t>P</t>
        </is>
      </c>
      <c r="AC53" s="89" t="inlineStr">
        <is>
          <t>P</t>
        </is>
      </c>
      <c r="AD53" s="89" t="inlineStr">
        <is>
          <t>P</t>
        </is>
      </c>
      <c r="AE53" s="89" t="inlineStr">
        <is>
          <t>P</t>
        </is>
      </c>
      <c r="AF53" s="89" t="inlineStr">
        <is>
          <t>P</t>
        </is>
      </c>
      <c r="AG53" s="89" t="inlineStr">
        <is>
          <t>P</t>
        </is>
      </c>
      <c r="AH53" s="89" t="inlineStr">
        <is>
          <t>P</t>
        </is>
      </c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8">
        <f>IF($A54="","",'Employee Master'!C54)</f>
        <v/>
      </c>
      <c r="D54" s="89" t="inlineStr">
        <is>
          <t>P</t>
        </is>
      </c>
      <c r="E54" s="89" t="inlineStr">
        <is>
          <t>P</t>
        </is>
      </c>
      <c r="F54" s="89" t="inlineStr">
        <is>
          <t>P</t>
        </is>
      </c>
      <c r="G54" s="89" t="inlineStr">
        <is>
          <t>P</t>
        </is>
      </c>
      <c r="H54" s="89" t="inlineStr">
        <is>
          <t>P</t>
        </is>
      </c>
      <c r="I54" s="89" t="inlineStr">
        <is>
          <t>P</t>
        </is>
      </c>
      <c r="J54" s="89" t="inlineStr">
        <is>
          <t>P</t>
        </is>
      </c>
      <c r="K54" s="89" t="inlineStr">
        <is>
          <t>P</t>
        </is>
      </c>
      <c r="L54" s="89" t="inlineStr">
        <is>
          <t>P</t>
        </is>
      </c>
      <c r="M54" s="89" t="inlineStr">
        <is>
          <t>P</t>
        </is>
      </c>
      <c r="N54" s="89" t="inlineStr">
        <is>
          <t>P</t>
        </is>
      </c>
      <c r="O54" s="89" t="inlineStr">
        <is>
          <t>P</t>
        </is>
      </c>
      <c r="P54" s="89" t="inlineStr">
        <is>
          <t>P</t>
        </is>
      </c>
      <c r="Q54" s="89" t="inlineStr">
        <is>
          <t>P</t>
        </is>
      </c>
      <c r="R54" s="89" t="inlineStr">
        <is>
          <t>P</t>
        </is>
      </c>
      <c r="S54" s="89" t="inlineStr">
        <is>
          <t>P</t>
        </is>
      </c>
      <c r="T54" s="89" t="inlineStr">
        <is>
          <t>P</t>
        </is>
      </c>
      <c r="U54" s="89" t="inlineStr">
        <is>
          <t>P</t>
        </is>
      </c>
      <c r="V54" s="89" t="inlineStr">
        <is>
          <t>P</t>
        </is>
      </c>
      <c r="W54" s="89" t="inlineStr">
        <is>
          <t>P</t>
        </is>
      </c>
      <c r="X54" s="89" t="inlineStr">
        <is>
          <t>P</t>
        </is>
      </c>
      <c r="Y54" s="89" t="inlineStr">
        <is>
          <t>P</t>
        </is>
      </c>
      <c r="Z54" s="89" t="inlineStr">
        <is>
          <t>P</t>
        </is>
      </c>
      <c r="AA54" s="89" t="inlineStr">
        <is>
          <t>P</t>
        </is>
      </c>
      <c r="AB54" s="89" t="inlineStr">
        <is>
          <t>P</t>
        </is>
      </c>
      <c r="AC54" s="89" t="inlineStr">
        <is>
          <t>P</t>
        </is>
      </c>
      <c r="AD54" s="89" t="inlineStr">
        <is>
          <t>P</t>
        </is>
      </c>
      <c r="AE54" s="89" t="inlineStr">
        <is>
          <t>P</t>
        </is>
      </c>
      <c r="AF54" s="89" t="inlineStr">
        <is>
          <t>P</t>
        </is>
      </c>
      <c r="AG54" s="89" t="inlineStr">
        <is>
          <t>P</t>
        </is>
      </c>
      <c r="AH54" s="89" t="inlineStr">
        <is>
          <t>P</t>
        </is>
      </c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8">
        <f>IF($A55="","",'Employee Master'!C55)</f>
        <v/>
      </c>
      <c r="D55" s="89" t="inlineStr">
        <is>
          <t>P</t>
        </is>
      </c>
      <c r="E55" s="89" t="inlineStr">
        <is>
          <t>P</t>
        </is>
      </c>
      <c r="F55" s="89" t="inlineStr">
        <is>
          <t>P</t>
        </is>
      </c>
      <c r="G55" s="89" t="inlineStr">
        <is>
          <t>P</t>
        </is>
      </c>
      <c r="H55" s="89" t="inlineStr">
        <is>
          <t>P</t>
        </is>
      </c>
      <c r="I55" s="89" t="inlineStr">
        <is>
          <t>P</t>
        </is>
      </c>
      <c r="J55" s="89" t="inlineStr">
        <is>
          <t>P</t>
        </is>
      </c>
      <c r="K55" s="89" t="inlineStr">
        <is>
          <t>P</t>
        </is>
      </c>
      <c r="L55" s="89" t="inlineStr">
        <is>
          <t>P</t>
        </is>
      </c>
      <c r="M55" s="89" t="inlineStr">
        <is>
          <t>P</t>
        </is>
      </c>
      <c r="N55" s="89" t="inlineStr">
        <is>
          <t>P</t>
        </is>
      </c>
      <c r="O55" s="89" t="inlineStr">
        <is>
          <t>P</t>
        </is>
      </c>
      <c r="P55" s="89" t="inlineStr">
        <is>
          <t>P</t>
        </is>
      </c>
      <c r="Q55" s="89" t="inlineStr">
        <is>
          <t>P</t>
        </is>
      </c>
      <c r="R55" s="89" t="inlineStr">
        <is>
          <t>P</t>
        </is>
      </c>
      <c r="S55" s="89" t="inlineStr">
        <is>
          <t>P</t>
        </is>
      </c>
      <c r="T55" s="89" t="inlineStr">
        <is>
          <t>P</t>
        </is>
      </c>
      <c r="U55" s="89" t="inlineStr">
        <is>
          <t>P</t>
        </is>
      </c>
      <c r="V55" s="89" t="inlineStr">
        <is>
          <t>P</t>
        </is>
      </c>
      <c r="W55" s="89" t="inlineStr">
        <is>
          <t>P</t>
        </is>
      </c>
      <c r="X55" s="89" t="inlineStr">
        <is>
          <t>P</t>
        </is>
      </c>
      <c r="Y55" s="89" t="inlineStr">
        <is>
          <t>P</t>
        </is>
      </c>
      <c r="Z55" s="89" t="inlineStr">
        <is>
          <t>P</t>
        </is>
      </c>
      <c r="AA55" s="89" t="inlineStr">
        <is>
          <t>P</t>
        </is>
      </c>
      <c r="AB55" s="89" t="inlineStr">
        <is>
          <t>P</t>
        </is>
      </c>
      <c r="AC55" s="89" t="inlineStr">
        <is>
          <t>P</t>
        </is>
      </c>
      <c r="AD55" s="89" t="inlineStr">
        <is>
          <t>P</t>
        </is>
      </c>
      <c r="AE55" s="89" t="inlineStr">
        <is>
          <t>P</t>
        </is>
      </c>
      <c r="AF55" s="89" t="inlineStr">
        <is>
          <t>P</t>
        </is>
      </c>
      <c r="AG55" s="89" t="inlineStr">
        <is>
          <t>P</t>
        </is>
      </c>
      <c r="AH55" s="89" t="inlineStr">
        <is>
          <t>P</t>
        </is>
      </c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8">
        <f>IF($A56="","",'Employee Master'!C56)</f>
        <v/>
      </c>
      <c r="D56" s="89" t="inlineStr">
        <is>
          <t>P</t>
        </is>
      </c>
      <c r="E56" s="89" t="inlineStr">
        <is>
          <t>P</t>
        </is>
      </c>
      <c r="F56" s="89" t="inlineStr">
        <is>
          <t>P</t>
        </is>
      </c>
      <c r="G56" s="89" t="inlineStr">
        <is>
          <t>P</t>
        </is>
      </c>
      <c r="H56" s="89" t="inlineStr">
        <is>
          <t>P</t>
        </is>
      </c>
      <c r="I56" s="89" t="inlineStr">
        <is>
          <t>P</t>
        </is>
      </c>
      <c r="J56" s="89" t="inlineStr">
        <is>
          <t>P</t>
        </is>
      </c>
      <c r="K56" s="89" t="inlineStr">
        <is>
          <t>P</t>
        </is>
      </c>
      <c r="L56" s="89" t="inlineStr">
        <is>
          <t>P</t>
        </is>
      </c>
      <c r="M56" s="89" t="inlineStr">
        <is>
          <t>P</t>
        </is>
      </c>
      <c r="N56" s="121" t="inlineStr">
        <is>
          <t>UA</t>
        </is>
      </c>
      <c r="O56" s="89" t="inlineStr">
        <is>
          <t>P</t>
        </is>
      </c>
      <c r="P56" s="89" t="inlineStr">
        <is>
          <t>P</t>
        </is>
      </c>
      <c r="Q56" s="89" t="inlineStr">
        <is>
          <t>P</t>
        </is>
      </c>
      <c r="R56" s="89" t="inlineStr">
        <is>
          <t>P</t>
        </is>
      </c>
      <c r="S56" s="121" t="inlineStr">
        <is>
          <t>UA</t>
        </is>
      </c>
      <c r="T56" s="121" t="inlineStr">
        <is>
          <t>UA</t>
        </is>
      </c>
      <c r="U56" s="121" t="inlineStr">
        <is>
          <t>UA</t>
        </is>
      </c>
      <c r="V56" s="121" t="inlineStr">
        <is>
          <t>UA</t>
        </is>
      </c>
      <c r="W56" s="121" t="inlineStr">
        <is>
          <t>UA</t>
        </is>
      </c>
      <c r="X56" s="121" t="inlineStr">
        <is>
          <t>UA</t>
        </is>
      </c>
      <c r="Y56" s="121" t="inlineStr">
        <is>
          <t>UA</t>
        </is>
      </c>
      <c r="Z56" s="121" t="inlineStr">
        <is>
          <t>UA</t>
        </is>
      </c>
      <c r="AA56" s="121" t="inlineStr">
        <is>
          <t>UA</t>
        </is>
      </c>
      <c r="AB56" s="89" t="inlineStr">
        <is>
          <t>P</t>
        </is>
      </c>
      <c r="AC56" s="89" t="inlineStr">
        <is>
          <t>P</t>
        </is>
      </c>
      <c r="AD56" s="89" t="inlineStr">
        <is>
          <t>P</t>
        </is>
      </c>
      <c r="AE56" s="89" t="inlineStr">
        <is>
          <t>P</t>
        </is>
      </c>
      <c r="AF56" s="89" t="inlineStr">
        <is>
          <t>P</t>
        </is>
      </c>
      <c r="AG56" s="89" t="inlineStr">
        <is>
          <t>P</t>
        </is>
      </c>
      <c r="AH56" s="89" t="inlineStr">
        <is>
          <t>P</t>
        </is>
      </c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8">
        <f>IF($A57="","",'Employee Master'!C57)</f>
        <v/>
      </c>
      <c r="D57" s="89" t="inlineStr">
        <is>
          <t>P</t>
        </is>
      </c>
      <c r="E57" s="89" t="inlineStr">
        <is>
          <t>P</t>
        </is>
      </c>
      <c r="F57" s="89" t="inlineStr">
        <is>
          <t>P</t>
        </is>
      </c>
      <c r="G57" s="89" t="inlineStr">
        <is>
          <t>P</t>
        </is>
      </c>
      <c r="H57" s="89" t="inlineStr">
        <is>
          <t>P</t>
        </is>
      </c>
      <c r="I57" s="89" t="inlineStr">
        <is>
          <t>P</t>
        </is>
      </c>
      <c r="J57" s="89" t="inlineStr">
        <is>
          <t>P</t>
        </is>
      </c>
      <c r="K57" s="89" t="inlineStr">
        <is>
          <t>P</t>
        </is>
      </c>
      <c r="L57" s="89" t="inlineStr">
        <is>
          <t>P</t>
        </is>
      </c>
      <c r="M57" s="89" t="inlineStr">
        <is>
          <t>P</t>
        </is>
      </c>
      <c r="N57" s="89" t="inlineStr">
        <is>
          <t>P</t>
        </is>
      </c>
      <c r="O57" s="89" t="inlineStr">
        <is>
          <t>P</t>
        </is>
      </c>
      <c r="P57" s="89" t="inlineStr">
        <is>
          <t>P</t>
        </is>
      </c>
      <c r="Q57" s="89" t="inlineStr">
        <is>
          <t>P</t>
        </is>
      </c>
      <c r="R57" s="89" t="inlineStr">
        <is>
          <t>P</t>
        </is>
      </c>
      <c r="S57" s="89" t="inlineStr">
        <is>
          <t>P</t>
        </is>
      </c>
      <c r="T57" s="89" t="inlineStr">
        <is>
          <t>P</t>
        </is>
      </c>
      <c r="U57" s="89" t="inlineStr">
        <is>
          <t>P</t>
        </is>
      </c>
      <c r="V57" s="89" t="inlineStr">
        <is>
          <t>P</t>
        </is>
      </c>
      <c r="W57" s="89" t="inlineStr">
        <is>
          <t>P</t>
        </is>
      </c>
      <c r="X57" s="89" t="inlineStr">
        <is>
          <t>P</t>
        </is>
      </c>
      <c r="Y57" s="89" t="inlineStr">
        <is>
          <t>P</t>
        </is>
      </c>
      <c r="Z57" s="89" t="inlineStr">
        <is>
          <t>P</t>
        </is>
      </c>
      <c r="AA57" s="89" t="inlineStr">
        <is>
          <t>P</t>
        </is>
      </c>
      <c r="AB57" s="89" t="inlineStr">
        <is>
          <t>P</t>
        </is>
      </c>
      <c r="AC57" s="89" t="inlineStr">
        <is>
          <t>P</t>
        </is>
      </c>
      <c r="AD57" s="89" t="inlineStr">
        <is>
          <t>P</t>
        </is>
      </c>
      <c r="AE57" s="89" t="inlineStr">
        <is>
          <t>P</t>
        </is>
      </c>
      <c r="AF57" s="89" t="inlineStr">
        <is>
          <t>P</t>
        </is>
      </c>
      <c r="AG57" s="89" t="inlineStr">
        <is>
          <t>P</t>
        </is>
      </c>
      <c r="AH57" s="89" t="inlineStr">
        <is>
          <t>P</t>
        </is>
      </c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8">
        <f>IF($A58="","",'Employee Master'!C58)</f>
        <v/>
      </c>
      <c r="D58" s="89" t="inlineStr">
        <is>
          <t>P</t>
        </is>
      </c>
      <c r="E58" s="89" t="inlineStr">
        <is>
          <t>P</t>
        </is>
      </c>
      <c r="F58" s="89" t="inlineStr">
        <is>
          <t>P</t>
        </is>
      </c>
      <c r="G58" s="89" t="inlineStr">
        <is>
          <t>P</t>
        </is>
      </c>
      <c r="H58" s="89" t="inlineStr">
        <is>
          <t>P</t>
        </is>
      </c>
      <c r="I58" s="89" t="inlineStr">
        <is>
          <t>P</t>
        </is>
      </c>
      <c r="J58" s="89" t="inlineStr">
        <is>
          <t>P</t>
        </is>
      </c>
      <c r="K58" s="89" t="inlineStr">
        <is>
          <t>P</t>
        </is>
      </c>
      <c r="L58" s="89" t="inlineStr">
        <is>
          <t>P</t>
        </is>
      </c>
      <c r="M58" s="89" t="inlineStr">
        <is>
          <t>P</t>
        </is>
      </c>
      <c r="N58" s="89" t="inlineStr">
        <is>
          <t>P</t>
        </is>
      </c>
      <c r="O58" s="89" t="inlineStr">
        <is>
          <t>P</t>
        </is>
      </c>
      <c r="P58" s="89" t="inlineStr">
        <is>
          <t>P</t>
        </is>
      </c>
      <c r="Q58" s="89" t="inlineStr">
        <is>
          <t>P</t>
        </is>
      </c>
      <c r="R58" s="89" t="inlineStr">
        <is>
          <t>P</t>
        </is>
      </c>
      <c r="S58" s="89" t="inlineStr">
        <is>
          <t>P</t>
        </is>
      </c>
      <c r="T58" s="89" t="inlineStr">
        <is>
          <t>P</t>
        </is>
      </c>
      <c r="U58" s="89" t="inlineStr">
        <is>
          <t>P</t>
        </is>
      </c>
      <c r="V58" s="89" t="inlineStr">
        <is>
          <t>P</t>
        </is>
      </c>
      <c r="W58" s="89" t="inlineStr">
        <is>
          <t>P</t>
        </is>
      </c>
      <c r="X58" s="89" t="inlineStr">
        <is>
          <t>P</t>
        </is>
      </c>
      <c r="Y58" s="89" t="inlineStr">
        <is>
          <t>P</t>
        </is>
      </c>
      <c r="Z58" s="121" t="inlineStr">
        <is>
          <t>UA</t>
        </is>
      </c>
      <c r="AA58" s="121" t="inlineStr">
        <is>
          <t>UA</t>
        </is>
      </c>
      <c r="AB58" s="121" t="inlineStr">
        <is>
          <t>UA</t>
        </is>
      </c>
      <c r="AC58" s="121" t="inlineStr">
        <is>
          <t>UA</t>
        </is>
      </c>
      <c r="AD58" s="121" t="inlineStr">
        <is>
          <t>UA</t>
        </is>
      </c>
      <c r="AE58" s="121" t="inlineStr">
        <is>
          <t>UA</t>
        </is>
      </c>
      <c r="AF58" s="121" t="inlineStr">
        <is>
          <t>UA</t>
        </is>
      </c>
      <c r="AG58" s="121" t="inlineStr">
        <is>
          <t>UA</t>
        </is>
      </c>
      <c r="AH58" s="121" t="inlineStr">
        <is>
          <t>UA</t>
        </is>
      </c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8">
        <f>IF($A59="","",'Employee Master'!C59)</f>
        <v/>
      </c>
      <c r="D59" s="89" t="inlineStr">
        <is>
          <t>P</t>
        </is>
      </c>
      <c r="E59" s="121" t="inlineStr">
        <is>
          <t>UA</t>
        </is>
      </c>
      <c r="F59" s="121" t="inlineStr">
        <is>
          <t>UA</t>
        </is>
      </c>
      <c r="G59" s="121" t="inlineStr">
        <is>
          <t>UA</t>
        </is>
      </c>
      <c r="H59" s="121" t="inlineStr">
        <is>
          <t>UA</t>
        </is>
      </c>
      <c r="I59" s="121" t="inlineStr">
        <is>
          <t>UA</t>
        </is>
      </c>
      <c r="J59" s="121" t="inlineStr">
        <is>
          <t>UA</t>
        </is>
      </c>
      <c r="K59" s="121" t="inlineStr">
        <is>
          <t>UA</t>
        </is>
      </c>
      <c r="L59" s="121" t="inlineStr">
        <is>
          <t>UA</t>
        </is>
      </c>
      <c r="M59" s="89" t="inlineStr">
        <is>
          <t>P</t>
        </is>
      </c>
      <c r="N59" s="89" t="inlineStr">
        <is>
          <t>P</t>
        </is>
      </c>
      <c r="O59" s="89" t="inlineStr">
        <is>
          <t>P</t>
        </is>
      </c>
      <c r="P59" s="89" t="inlineStr">
        <is>
          <t>P</t>
        </is>
      </c>
      <c r="Q59" s="89" t="inlineStr">
        <is>
          <t>P</t>
        </is>
      </c>
      <c r="R59" s="89" t="inlineStr">
        <is>
          <t>P</t>
        </is>
      </c>
      <c r="S59" s="89" t="inlineStr">
        <is>
          <t>P</t>
        </is>
      </c>
      <c r="T59" s="89" t="inlineStr">
        <is>
          <t>P</t>
        </is>
      </c>
      <c r="U59" s="89" t="inlineStr">
        <is>
          <t>P</t>
        </is>
      </c>
      <c r="V59" s="89" t="inlineStr">
        <is>
          <t>P</t>
        </is>
      </c>
      <c r="W59" s="89" t="inlineStr">
        <is>
          <t>P</t>
        </is>
      </c>
      <c r="X59" s="89" t="inlineStr">
        <is>
          <t>P</t>
        </is>
      </c>
      <c r="Y59" s="89" t="inlineStr">
        <is>
          <t>P</t>
        </is>
      </c>
      <c r="Z59" s="89" t="inlineStr">
        <is>
          <t>P</t>
        </is>
      </c>
      <c r="AA59" s="89" t="inlineStr">
        <is>
          <t>P</t>
        </is>
      </c>
      <c r="AB59" s="89" t="inlineStr">
        <is>
          <t>P</t>
        </is>
      </c>
      <c r="AC59" s="89" t="inlineStr">
        <is>
          <t>P</t>
        </is>
      </c>
      <c r="AD59" s="89" t="inlineStr">
        <is>
          <t>P</t>
        </is>
      </c>
      <c r="AE59" s="89" t="inlineStr">
        <is>
          <t>P</t>
        </is>
      </c>
      <c r="AF59" s="89" t="inlineStr">
        <is>
          <t>P</t>
        </is>
      </c>
      <c r="AG59" s="89" t="inlineStr">
        <is>
          <t>P</t>
        </is>
      </c>
      <c r="AH59" s="89" t="inlineStr">
        <is>
          <t>UA</t>
        </is>
      </c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8">
        <f>IF($A60="","",'Employee Master'!C60)</f>
        <v/>
      </c>
      <c r="D60" s="89" t="inlineStr">
        <is>
          <t>P</t>
        </is>
      </c>
      <c r="E60" s="89" t="inlineStr">
        <is>
          <t>P</t>
        </is>
      </c>
      <c r="F60" s="89" t="inlineStr">
        <is>
          <t>P</t>
        </is>
      </c>
      <c r="G60" s="89" t="inlineStr">
        <is>
          <t>P</t>
        </is>
      </c>
      <c r="H60" s="89" t="inlineStr">
        <is>
          <t>P</t>
        </is>
      </c>
      <c r="I60" s="89" t="inlineStr">
        <is>
          <t>P</t>
        </is>
      </c>
      <c r="J60" s="89" t="inlineStr">
        <is>
          <t>P</t>
        </is>
      </c>
      <c r="K60" s="121" t="inlineStr">
        <is>
          <t>UA</t>
        </is>
      </c>
      <c r="L60" s="89" t="inlineStr">
        <is>
          <t>P</t>
        </is>
      </c>
      <c r="M60" s="89" t="inlineStr">
        <is>
          <t>P</t>
        </is>
      </c>
      <c r="N60" s="89" t="inlineStr">
        <is>
          <t>P</t>
        </is>
      </c>
      <c r="O60" s="89" t="inlineStr">
        <is>
          <t>P</t>
        </is>
      </c>
      <c r="P60" s="89" t="inlineStr">
        <is>
          <t>P</t>
        </is>
      </c>
      <c r="Q60" s="89" t="inlineStr">
        <is>
          <t>P</t>
        </is>
      </c>
      <c r="R60" s="89" t="inlineStr">
        <is>
          <t>P</t>
        </is>
      </c>
      <c r="S60" s="89" t="inlineStr">
        <is>
          <t>P</t>
        </is>
      </c>
      <c r="T60" s="89" t="inlineStr">
        <is>
          <t>P</t>
        </is>
      </c>
      <c r="U60" s="89" t="inlineStr">
        <is>
          <t>P</t>
        </is>
      </c>
      <c r="V60" s="89" t="inlineStr">
        <is>
          <t>P</t>
        </is>
      </c>
      <c r="W60" s="89" t="inlineStr">
        <is>
          <t>P</t>
        </is>
      </c>
      <c r="X60" s="89" t="inlineStr">
        <is>
          <t>P</t>
        </is>
      </c>
      <c r="Y60" s="89" t="inlineStr">
        <is>
          <t>P</t>
        </is>
      </c>
      <c r="Z60" s="89" t="inlineStr">
        <is>
          <t>P</t>
        </is>
      </c>
      <c r="AA60" s="89" t="inlineStr">
        <is>
          <t>P</t>
        </is>
      </c>
      <c r="AB60" s="89" t="inlineStr">
        <is>
          <t>P</t>
        </is>
      </c>
      <c r="AC60" s="89" t="inlineStr">
        <is>
          <t>P</t>
        </is>
      </c>
      <c r="AD60" s="89" t="inlineStr">
        <is>
          <t>P</t>
        </is>
      </c>
      <c r="AE60" s="89" t="inlineStr">
        <is>
          <t>P</t>
        </is>
      </c>
      <c r="AF60" s="89" t="inlineStr">
        <is>
          <t>P</t>
        </is>
      </c>
      <c r="AG60" s="121" t="inlineStr">
        <is>
          <t>UA</t>
        </is>
      </c>
      <c r="AH60" s="121" t="inlineStr">
        <is>
          <t>UA</t>
        </is>
      </c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8">
        <f>IF($A61="","",'Employee Master'!C61)</f>
        <v/>
      </c>
      <c r="D61" s="89" t="inlineStr">
        <is>
          <t>P</t>
        </is>
      </c>
      <c r="E61" s="89" t="inlineStr">
        <is>
          <t>P</t>
        </is>
      </c>
      <c r="F61" s="89" t="inlineStr">
        <is>
          <t>P</t>
        </is>
      </c>
      <c r="G61" s="89" t="inlineStr">
        <is>
          <t>P</t>
        </is>
      </c>
      <c r="H61" s="89" t="inlineStr">
        <is>
          <t>P</t>
        </is>
      </c>
      <c r="I61" s="89" t="inlineStr">
        <is>
          <t>P</t>
        </is>
      </c>
      <c r="J61" s="89" t="inlineStr">
        <is>
          <t>P</t>
        </is>
      </c>
      <c r="K61" s="89" t="inlineStr">
        <is>
          <t>P</t>
        </is>
      </c>
      <c r="L61" s="121" t="inlineStr">
        <is>
          <t>UA</t>
        </is>
      </c>
      <c r="M61" s="121" t="inlineStr">
        <is>
          <t>UA</t>
        </is>
      </c>
      <c r="N61" s="121" t="inlineStr">
        <is>
          <t>UA</t>
        </is>
      </c>
      <c r="O61" s="121" t="inlineStr">
        <is>
          <t>UA</t>
        </is>
      </c>
      <c r="P61" s="121" t="inlineStr">
        <is>
          <t>UA</t>
        </is>
      </c>
      <c r="Q61" s="121" t="inlineStr">
        <is>
          <t>UA</t>
        </is>
      </c>
      <c r="R61" s="121" t="inlineStr">
        <is>
          <t>UA</t>
        </is>
      </c>
      <c r="S61" s="121" t="inlineStr">
        <is>
          <t>UA</t>
        </is>
      </c>
      <c r="T61" s="121" t="inlineStr">
        <is>
          <t>UA</t>
        </is>
      </c>
      <c r="U61" s="121" t="inlineStr">
        <is>
          <t>UA</t>
        </is>
      </c>
      <c r="V61" s="121" t="inlineStr">
        <is>
          <t>UA</t>
        </is>
      </c>
      <c r="W61" s="121" t="inlineStr">
        <is>
          <t>UA</t>
        </is>
      </c>
      <c r="X61" s="121" t="inlineStr">
        <is>
          <t>UA</t>
        </is>
      </c>
      <c r="Y61" s="121" t="inlineStr">
        <is>
          <t>UA</t>
        </is>
      </c>
      <c r="Z61" s="121" t="inlineStr">
        <is>
          <t>UA</t>
        </is>
      </c>
      <c r="AA61" s="121" t="inlineStr">
        <is>
          <t>UA</t>
        </is>
      </c>
      <c r="AB61" s="121" t="inlineStr">
        <is>
          <t>UA</t>
        </is>
      </c>
      <c r="AC61" s="121" t="inlineStr">
        <is>
          <t>UA</t>
        </is>
      </c>
      <c r="AD61" s="121" t="inlineStr">
        <is>
          <t>UA</t>
        </is>
      </c>
      <c r="AE61" s="121" t="inlineStr">
        <is>
          <t>UA</t>
        </is>
      </c>
      <c r="AF61" s="121" t="inlineStr">
        <is>
          <t>UA</t>
        </is>
      </c>
      <c r="AG61" s="121" t="inlineStr">
        <is>
          <t>UA</t>
        </is>
      </c>
      <c r="AH61" s="121" t="inlineStr">
        <is>
          <t>UA</t>
        </is>
      </c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8">
        <f>IF($A62="","",'Employee Master'!C62)</f>
        <v/>
      </c>
      <c r="D62" s="89" t="inlineStr">
        <is>
          <t>P</t>
        </is>
      </c>
      <c r="E62" s="89" t="inlineStr">
        <is>
          <t>P</t>
        </is>
      </c>
      <c r="F62" s="89" t="inlineStr">
        <is>
          <t>P</t>
        </is>
      </c>
      <c r="G62" s="89" t="inlineStr">
        <is>
          <t>P</t>
        </is>
      </c>
      <c r="H62" s="89" t="inlineStr">
        <is>
          <t>P</t>
        </is>
      </c>
      <c r="I62" s="89" t="inlineStr">
        <is>
          <t>P</t>
        </is>
      </c>
      <c r="J62" s="89" t="inlineStr">
        <is>
          <t>P</t>
        </is>
      </c>
      <c r="K62" s="89" t="inlineStr">
        <is>
          <t>P</t>
        </is>
      </c>
      <c r="L62" s="89" t="inlineStr">
        <is>
          <t>P</t>
        </is>
      </c>
      <c r="M62" s="89" t="inlineStr">
        <is>
          <t>P</t>
        </is>
      </c>
      <c r="N62" s="89" t="inlineStr">
        <is>
          <t>P</t>
        </is>
      </c>
      <c r="O62" s="89" t="inlineStr">
        <is>
          <t>P</t>
        </is>
      </c>
      <c r="P62" s="89" t="inlineStr">
        <is>
          <t>P</t>
        </is>
      </c>
      <c r="Q62" s="89" t="inlineStr">
        <is>
          <t>P</t>
        </is>
      </c>
      <c r="R62" s="89" t="inlineStr">
        <is>
          <t>P</t>
        </is>
      </c>
      <c r="S62" s="89" t="inlineStr">
        <is>
          <t>P</t>
        </is>
      </c>
      <c r="T62" s="89" t="inlineStr">
        <is>
          <t>P</t>
        </is>
      </c>
      <c r="U62" s="89" t="inlineStr">
        <is>
          <t>P</t>
        </is>
      </c>
      <c r="V62" s="89" t="inlineStr">
        <is>
          <t>P</t>
        </is>
      </c>
      <c r="W62" s="89" t="inlineStr">
        <is>
          <t>P</t>
        </is>
      </c>
      <c r="X62" s="89" t="inlineStr">
        <is>
          <t>P</t>
        </is>
      </c>
      <c r="Y62" s="89" t="inlineStr">
        <is>
          <t>P</t>
        </is>
      </c>
      <c r="Z62" s="121" t="inlineStr">
        <is>
          <t>UA</t>
        </is>
      </c>
      <c r="AA62" s="89" t="inlineStr">
        <is>
          <t>P</t>
        </is>
      </c>
      <c r="AB62" s="121" t="inlineStr">
        <is>
          <t>UA</t>
        </is>
      </c>
      <c r="AC62" s="121" t="inlineStr">
        <is>
          <t>UA</t>
        </is>
      </c>
      <c r="AD62" s="121" t="inlineStr">
        <is>
          <t>UA</t>
        </is>
      </c>
      <c r="AE62" s="89" t="inlineStr">
        <is>
          <t>P</t>
        </is>
      </c>
      <c r="AF62" s="89" t="inlineStr">
        <is>
          <t>P</t>
        </is>
      </c>
      <c r="AG62" s="89" t="inlineStr">
        <is>
          <t>P</t>
        </is>
      </c>
      <c r="AH62" s="89" t="inlineStr">
        <is>
          <t>P</t>
        </is>
      </c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8">
        <f>IF($A63="","",'Employee Master'!C63)</f>
        <v/>
      </c>
      <c r="D63" s="121" t="inlineStr">
        <is>
          <t>UA</t>
        </is>
      </c>
      <c r="E63" s="121" t="inlineStr">
        <is>
          <t>UA</t>
        </is>
      </c>
      <c r="F63" s="121" t="inlineStr">
        <is>
          <t>UA</t>
        </is>
      </c>
      <c r="G63" s="121" t="inlineStr">
        <is>
          <t>UA</t>
        </is>
      </c>
      <c r="H63" s="121" t="inlineStr">
        <is>
          <t>UA</t>
        </is>
      </c>
      <c r="I63" s="121" t="inlineStr">
        <is>
          <t>UA</t>
        </is>
      </c>
      <c r="J63" s="121" t="inlineStr">
        <is>
          <t>UA</t>
        </is>
      </c>
      <c r="K63" s="121" t="inlineStr">
        <is>
          <t>UA</t>
        </is>
      </c>
      <c r="L63" s="121" t="inlineStr">
        <is>
          <t>UA</t>
        </is>
      </c>
      <c r="M63" s="121" t="inlineStr">
        <is>
          <t>UA</t>
        </is>
      </c>
      <c r="N63" s="121" t="inlineStr">
        <is>
          <t>UA</t>
        </is>
      </c>
      <c r="O63" s="121" t="inlineStr">
        <is>
          <t>UA</t>
        </is>
      </c>
      <c r="P63" s="121" t="inlineStr">
        <is>
          <t>UA</t>
        </is>
      </c>
      <c r="Q63" s="121" t="inlineStr">
        <is>
          <t>UA</t>
        </is>
      </c>
      <c r="R63" s="121" t="inlineStr">
        <is>
          <t>UA</t>
        </is>
      </c>
      <c r="S63" s="121" t="inlineStr">
        <is>
          <t>UA</t>
        </is>
      </c>
      <c r="T63" s="121" t="inlineStr">
        <is>
          <t>UA</t>
        </is>
      </c>
      <c r="U63" s="121" t="inlineStr">
        <is>
          <t>UA</t>
        </is>
      </c>
      <c r="V63" s="121" t="inlineStr">
        <is>
          <t>UA</t>
        </is>
      </c>
      <c r="W63" s="121" t="inlineStr">
        <is>
          <t>UA</t>
        </is>
      </c>
      <c r="X63" s="121" t="inlineStr">
        <is>
          <t>UA</t>
        </is>
      </c>
      <c r="Y63" s="121" t="inlineStr">
        <is>
          <t>UA</t>
        </is>
      </c>
      <c r="Z63" s="121" t="inlineStr">
        <is>
          <t>UA</t>
        </is>
      </c>
      <c r="AA63" s="121" t="inlineStr">
        <is>
          <t>UA</t>
        </is>
      </c>
      <c r="AB63" s="121" t="inlineStr">
        <is>
          <t>UA</t>
        </is>
      </c>
      <c r="AC63" s="121" t="inlineStr">
        <is>
          <t>UA</t>
        </is>
      </c>
      <c r="AD63" s="121" t="inlineStr">
        <is>
          <t>UA</t>
        </is>
      </c>
      <c r="AE63" s="121" t="inlineStr">
        <is>
          <t>UA</t>
        </is>
      </c>
      <c r="AF63" s="121" t="inlineStr">
        <is>
          <t>UA</t>
        </is>
      </c>
      <c r="AG63" s="121" t="inlineStr">
        <is>
          <t>UA</t>
        </is>
      </c>
      <c r="AH63" s="121" t="inlineStr">
        <is>
          <t>UA</t>
        </is>
      </c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8">
        <f>IF($A64="","",'Employee Master'!C64)</f>
        <v/>
      </c>
      <c r="D64" s="89" t="inlineStr">
        <is>
          <t>P</t>
        </is>
      </c>
      <c r="E64" s="89" t="inlineStr">
        <is>
          <t>P</t>
        </is>
      </c>
      <c r="F64" s="89" t="inlineStr">
        <is>
          <t>P</t>
        </is>
      </c>
      <c r="G64" s="89" t="inlineStr">
        <is>
          <t>P</t>
        </is>
      </c>
      <c r="H64" s="89" t="inlineStr">
        <is>
          <t>P</t>
        </is>
      </c>
      <c r="I64" s="89" t="inlineStr">
        <is>
          <t>P</t>
        </is>
      </c>
      <c r="J64" s="89" t="inlineStr">
        <is>
          <t>P</t>
        </is>
      </c>
      <c r="K64" s="89" t="inlineStr">
        <is>
          <t>P</t>
        </is>
      </c>
      <c r="L64" s="89" t="inlineStr">
        <is>
          <t>P</t>
        </is>
      </c>
      <c r="M64" s="89" t="inlineStr">
        <is>
          <t>P</t>
        </is>
      </c>
      <c r="N64" s="89" t="inlineStr">
        <is>
          <t>P</t>
        </is>
      </c>
      <c r="O64" s="89" t="inlineStr">
        <is>
          <t>P</t>
        </is>
      </c>
      <c r="P64" s="89" t="inlineStr">
        <is>
          <t>P</t>
        </is>
      </c>
      <c r="Q64" s="89" t="inlineStr">
        <is>
          <t>P</t>
        </is>
      </c>
      <c r="R64" s="89" t="inlineStr">
        <is>
          <t>P</t>
        </is>
      </c>
      <c r="S64" s="89" t="inlineStr">
        <is>
          <t>P</t>
        </is>
      </c>
      <c r="T64" s="89" t="inlineStr">
        <is>
          <t>P</t>
        </is>
      </c>
      <c r="U64" s="89" t="inlineStr">
        <is>
          <t>P</t>
        </is>
      </c>
      <c r="V64" s="89" t="inlineStr">
        <is>
          <t>P</t>
        </is>
      </c>
      <c r="W64" s="89" t="inlineStr">
        <is>
          <t>P</t>
        </is>
      </c>
      <c r="X64" s="89" t="inlineStr">
        <is>
          <t>P</t>
        </is>
      </c>
      <c r="Y64" s="89" t="inlineStr">
        <is>
          <t>P</t>
        </is>
      </c>
      <c r="Z64" s="89" t="inlineStr">
        <is>
          <t>P</t>
        </is>
      </c>
      <c r="AA64" s="89" t="inlineStr">
        <is>
          <t>P</t>
        </is>
      </c>
      <c r="AB64" s="89" t="inlineStr">
        <is>
          <t>P</t>
        </is>
      </c>
      <c r="AC64" s="89" t="inlineStr">
        <is>
          <t>P</t>
        </is>
      </c>
      <c r="AD64" s="89" t="inlineStr">
        <is>
          <t>P</t>
        </is>
      </c>
      <c r="AE64" s="89" t="inlineStr">
        <is>
          <t>P</t>
        </is>
      </c>
      <c r="AF64" s="89" t="inlineStr">
        <is>
          <t>P</t>
        </is>
      </c>
      <c r="AG64" s="89" t="inlineStr">
        <is>
          <t>P</t>
        </is>
      </c>
      <c r="AH64" s="89" t="inlineStr">
        <is>
          <t>P</t>
        </is>
      </c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8">
        <f>IF($A65="","",'Employee Master'!C65)</f>
        <v/>
      </c>
      <c r="D65" s="121" t="inlineStr">
        <is>
          <t>UA</t>
        </is>
      </c>
      <c r="E65" s="121" t="inlineStr">
        <is>
          <t>UA</t>
        </is>
      </c>
      <c r="F65" s="121" t="inlineStr">
        <is>
          <t>UA</t>
        </is>
      </c>
      <c r="G65" s="121" t="inlineStr">
        <is>
          <t>UA</t>
        </is>
      </c>
      <c r="H65" s="121" t="inlineStr">
        <is>
          <t>UA</t>
        </is>
      </c>
      <c r="I65" s="121" t="inlineStr">
        <is>
          <t>UA</t>
        </is>
      </c>
      <c r="J65" s="89" t="inlineStr">
        <is>
          <t>P</t>
        </is>
      </c>
      <c r="K65" s="89" t="inlineStr">
        <is>
          <t>P</t>
        </is>
      </c>
      <c r="L65" s="89" t="inlineStr">
        <is>
          <t>P</t>
        </is>
      </c>
      <c r="M65" s="89" t="inlineStr">
        <is>
          <t>P</t>
        </is>
      </c>
      <c r="N65" s="89" t="inlineStr">
        <is>
          <t>P</t>
        </is>
      </c>
      <c r="O65" s="121" t="inlineStr">
        <is>
          <t>UA</t>
        </is>
      </c>
      <c r="P65" s="121" t="inlineStr">
        <is>
          <t>UA</t>
        </is>
      </c>
      <c r="Q65" s="89" t="inlineStr">
        <is>
          <t>P</t>
        </is>
      </c>
      <c r="R65" s="89" t="inlineStr">
        <is>
          <t>P</t>
        </is>
      </c>
      <c r="S65" s="89" t="inlineStr">
        <is>
          <t>P</t>
        </is>
      </c>
      <c r="T65" s="89" t="inlineStr">
        <is>
          <t>P</t>
        </is>
      </c>
      <c r="U65" s="89" t="inlineStr">
        <is>
          <t>P</t>
        </is>
      </c>
      <c r="V65" s="121" t="inlineStr">
        <is>
          <t>UA</t>
        </is>
      </c>
      <c r="W65" s="121" t="inlineStr">
        <is>
          <t>UA</t>
        </is>
      </c>
      <c r="X65" s="121" t="inlineStr">
        <is>
          <t>UA</t>
        </is>
      </c>
      <c r="Y65" s="121" t="inlineStr">
        <is>
          <t>UA</t>
        </is>
      </c>
      <c r="Z65" s="121" t="inlineStr">
        <is>
          <t>UA</t>
        </is>
      </c>
      <c r="AA65" s="121" t="inlineStr">
        <is>
          <t>UA</t>
        </is>
      </c>
      <c r="AB65" s="121" t="inlineStr">
        <is>
          <t>UA</t>
        </is>
      </c>
      <c r="AC65" s="121" t="inlineStr">
        <is>
          <t>UA</t>
        </is>
      </c>
      <c r="AD65" s="121" t="inlineStr">
        <is>
          <t>UA</t>
        </is>
      </c>
      <c r="AE65" s="121" t="inlineStr">
        <is>
          <t>UA</t>
        </is>
      </c>
      <c r="AF65" s="121" t="inlineStr">
        <is>
          <t>UA</t>
        </is>
      </c>
      <c r="AG65" s="121" t="inlineStr">
        <is>
          <t>UA</t>
        </is>
      </c>
      <c r="AH65" s="121" t="inlineStr">
        <is>
          <t>UA</t>
        </is>
      </c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8">
        <f>IF($A66="","",'Employee Master'!C66)</f>
        <v/>
      </c>
      <c r="D66" s="89" t="inlineStr">
        <is>
          <t>P</t>
        </is>
      </c>
      <c r="E66" s="121" t="inlineStr">
        <is>
          <t>UA</t>
        </is>
      </c>
      <c r="F66" s="121" t="inlineStr">
        <is>
          <t>UA</t>
        </is>
      </c>
      <c r="G66" s="121" t="inlineStr">
        <is>
          <t>UA</t>
        </is>
      </c>
      <c r="H66" s="121" t="inlineStr">
        <is>
          <t>UA</t>
        </is>
      </c>
      <c r="I66" s="121" t="inlineStr">
        <is>
          <t>UA</t>
        </is>
      </c>
      <c r="J66" s="89" t="inlineStr">
        <is>
          <t>P</t>
        </is>
      </c>
      <c r="K66" s="89" t="inlineStr">
        <is>
          <t>P</t>
        </is>
      </c>
      <c r="L66" s="89" t="inlineStr">
        <is>
          <t>P</t>
        </is>
      </c>
      <c r="M66" s="89" t="inlineStr">
        <is>
          <t>P</t>
        </is>
      </c>
      <c r="N66" s="89" t="inlineStr">
        <is>
          <t>P</t>
        </is>
      </c>
      <c r="O66" s="89" t="inlineStr">
        <is>
          <t>P</t>
        </is>
      </c>
      <c r="P66" s="89" t="inlineStr">
        <is>
          <t>P</t>
        </is>
      </c>
      <c r="Q66" s="89" t="inlineStr">
        <is>
          <t>P</t>
        </is>
      </c>
      <c r="R66" s="89" t="inlineStr">
        <is>
          <t>P</t>
        </is>
      </c>
      <c r="S66" s="89" t="inlineStr">
        <is>
          <t>P</t>
        </is>
      </c>
      <c r="T66" s="89" t="inlineStr">
        <is>
          <t>P</t>
        </is>
      </c>
      <c r="U66" s="89" t="inlineStr">
        <is>
          <t>P</t>
        </is>
      </c>
      <c r="V66" s="89" t="inlineStr">
        <is>
          <t>P</t>
        </is>
      </c>
      <c r="W66" s="89" t="inlineStr">
        <is>
          <t>P</t>
        </is>
      </c>
      <c r="X66" s="89" t="inlineStr">
        <is>
          <t>P</t>
        </is>
      </c>
      <c r="Y66" s="89" t="inlineStr">
        <is>
          <t>P</t>
        </is>
      </c>
      <c r="Z66" s="89" t="inlineStr">
        <is>
          <t>P</t>
        </is>
      </c>
      <c r="AA66" s="89" t="inlineStr">
        <is>
          <t>P</t>
        </is>
      </c>
      <c r="AB66" s="89" t="inlineStr">
        <is>
          <t>P</t>
        </is>
      </c>
      <c r="AC66" s="89" t="inlineStr">
        <is>
          <t>P</t>
        </is>
      </c>
      <c r="AD66" s="89" t="inlineStr">
        <is>
          <t>P</t>
        </is>
      </c>
      <c r="AE66" s="89" t="inlineStr">
        <is>
          <t>P</t>
        </is>
      </c>
      <c r="AF66" s="89" t="inlineStr">
        <is>
          <t>P</t>
        </is>
      </c>
      <c r="AG66" s="89" t="inlineStr">
        <is>
          <t>P</t>
        </is>
      </c>
      <c r="AH66" s="89" t="inlineStr">
        <is>
          <t>P</t>
        </is>
      </c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8">
        <f>IF($A67="","",'Employee Master'!C67)</f>
        <v/>
      </c>
      <c r="D67" s="89" t="inlineStr">
        <is>
          <t>P</t>
        </is>
      </c>
      <c r="E67" s="89" t="inlineStr">
        <is>
          <t>P</t>
        </is>
      </c>
      <c r="F67" s="89" t="inlineStr">
        <is>
          <t>P</t>
        </is>
      </c>
      <c r="G67" s="89" t="inlineStr">
        <is>
          <t>P</t>
        </is>
      </c>
      <c r="H67" s="89" t="inlineStr">
        <is>
          <t>P</t>
        </is>
      </c>
      <c r="I67" s="89" t="inlineStr">
        <is>
          <t>P</t>
        </is>
      </c>
      <c r="J67" s="89" t="inlineStr">
        <is>
          <t>P</t>
        </is>
      </c>
      <c r="K67" s="89" t="inlineStr">
        <is>
          <t>P</t>
        </is>
      </c>
      <c r="L67" s="89" t="inlineStr">
        <is>
          <t>P</t>
        </is>
      </c>
      <c r="M67" s="89" t="inlineStr">
        <is>
          <t>P</t>
        </is>
      </c>
      <c r="N67" s="89" t="inlineStr">
        <is>
          <t>P</t>
        </is>
      </c>
      <c r="O67" s="89" t="inlineStr">
        <is>
          <t>P</t>
        </is>
      </c>
      <c r="P67" s="89" t="inlineStr">
        <is>
          <t>P</t>
        </is>
      </c>
      <c r="Q67" s="89" t="inlineStr">
        <is>
          <t>P</t>
        </is>
      </c>
      <c r="R67" s="89" t="inlineStr">
        <is>
          <t>P</t>
        </is>
      </c>
      <c r="S67" s="89" t="inlineStr">
        <is>
          <t>P</t>
        </is>
      </c>
      <c r="T67" s="89" t="inlineStr">
        <is>
          <t>P</t>
        </is>
      </c>
      <c r="U67" s="89" t="inlineStr">
        <is>
          <t>P</t>
        </is>
      </c>
      <c r="V67" s="89" t="inlineStr">
        <is>
          <t>P</t>
        </is>
      </c>
      <c r="W67" s="89" t="inlineStr">
        <is>
          <t>P</t>
        </is>
      </c>
      <c r="X67" s="89" t="inlineStr">
        <is>
          <t>P</t>
        </is>
      </c>
      <c r="Y67" s="89" t="inlineStr">
        <is>
          <t>P</t>
        </is>
      </c>
      <c r="Z67" s="89" t="inlineStr">
        <is>
          <t>P</t>
        </is>
      </c>
      <c r="AA67" s="89" t="inlineStr">
        <is>
          <t>P</t>
        </is>
      </c>
      <c r="AB67" s="89" t="inlineStr">
        <is>
          <t>P</t>
        </is>
      </c>
      <c r="AC67" s="89" t="inlineStr">
        <is>
          <t>P</t>
        </is>
      </c>
      <c r="AD67" s="89" t="inlineStr">
        <is>
          <t>P</t>
        </is>
      </c>
      <c r="AE67" s="89" t="inlineStr">
        <is>
          <t>P</t>
        </is>
      </c>
      <c r="AF67" s="89" t="inlineStr">
        <is>
          <t>P</t>
        </is>
      </c>
      <c r="AG67" s="89" t="inlineStr">
        <is>
          <t>P</t>
        </is>
      </c>
      <c r="AH67" s="89" t="inlineStr">
        <is>
          <t>P</t>
        </is>
      </c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8">
        <f>IF($A68="","",'Employee Master'!C68)</f>
        <v/>
      </c>
      <c r="D68" s="89" t="inlineStr">
        <is>
          <t>P</t>
        </is>
      </c>
      <c r="E68" s="89" t="inlineStr">
        <is>
          <t>P</t>
        </is>
      </c>
      <c r="F68" s="89" t="inlineStr">
        <is>
          <t>P</t>
        </is>
      </c>
      <c r="G68" s="89" t="inlineStr">
        <is>
          <t>P</t>
        </is>
      </c>
      <c r="H68" s="89" t="inlineStr">
        <is>
          <t>P</t>
        </is>
      </c>
      <c r="I68" s="89" t="inlineStr">
        <is>
          <t>P</t>
        </is>
      </c>
      <c r="J68" s="89" t="inlineStr">
        <is>
          <t>P</t>
        </is>
      </c>
      <c r="K68" s="89" t="inlineStr">
        <is>
          <t>P</t>
        </is>
      </c>
      <c r="L68" s="89" t="inlineStr">
        <is>
          <t>P</t>
        </is>
      </c>
      <c r="M68" s="89" t="inlineStr">
        <is>
          <t>P</t>
        </is>
      </c>
      <c r="N68" s="89" t="inlineStr">
        <is>
          <t>P</t>
        </is>
      </c>
      <c r="O68" s="89" t="inlineStr">
        <is>
          <t>P</t>
        </is>
      </c>
      <c r="P68" s="89" t="inlineStr">
        <is>
          <t>P</t>
        </is>
      </c>
      <c r="Q68" s="89" t="inlineStr">
        <is>
          <t>P</t>
        </is>
      </c>
      <c r="R68" s="89" t="inlineStr">
        <is>
          <t>P</t>
        </is>
      </c>
      <c r="S68" s="89" t="inlineStr">
        <is>
          <t>P</t>
        </is>
      </c>
      <c r="T68" s="89" t="inlineStr">
        <is>
          <t>P</t>
        </is>
      </c>
      <c r="U68" s="89" t="inlineStr">
        <is>
          <t>P</t>
        </is>
      </c>
      <c r="V68" s="89" t="inlineStr">
        <is>
          <t>P</t>
        </is>
      </c>
      <c r="W68" s="89" t="inlineStr">
        <is>
          <t>P</t>
        </is>
      </c>
      <c r="X68" s="89" t="inlineStr">
        <is>
          <t>P</t>
        </is>
      </c>
      <c r="Y68" s="89" t="inlineStr">
        <is>
          <t>P</t>
        </is>
      </c>
      <c r="Z68" s="89" t="inlineStr">
        <is>
          <t>UA</t>
        </is>
      </c>
      <c r="AA68" s="89" t="inlineStr">
        <is>
          <t>UA</t>
        </is>
      </c>
      <c r="AB68" s="89" t="inlineStr">
        <is>
          <t>UA</t>
        </is>
      </c>
      <c r="AC68" s="89" t="inlineStr">
        <is>
          <t>UA</t>
        </is>
      </c>
      <c r="AD68" s="89" t="inlineStr">
        <is>
          <t>UA</t>
        </is>
      </c>
      <c r="AE68" s="89" t="inlineStr">
        <is>
          <t>UA</t>
        </is>
      </c>
      <c r="AF68" s="89" t="inlineStr">
        <is>
          <t>UA</t>
        </is>
      </c>
      <c r="AG68" s="89" t="inlineStr">
        <is>
          <t>UA</t>
        </is>
      </c>
      <c r="AH68" s="89" t="inlineStr">
        <is>
          <t>UA</t>
        </is>
      </c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8">
        <f>IF($A69="","",'Employee Master'!C69)</f>
        <v/>
      </c>
      <c r="D69" s="89" t="inlineStr">
        <is>
          <t>P</t>
        </is>
      </c>
      <c r="E69" s="89" t="inlineStr">
        <is>
          <t>P</t>
        </is>
      </c>
      <c r="F69" s="89" t="inlineStr">
        <is>
          <t>P</t>
        </is>
      </c>
      <c r="G69" s="89" t="inlineStr">
        <is>
          <t>P</t>
        </is>
      </c>
      <c r="H69" s="89" t="inlineStr">
        <is>
          <t>P</t>
        </is>
      </c>
      <c r="I69" s="89" t="inlineStr">
        <is>
          <t>P</t>
        </is>
      </c>
      <c r="J69" s="89" t="inlineStr">
        <is>
          <t>P</t>
        </is>
      </c>
      <c r="K69" s="89" t="inlineStr">
        <is>
          <t>P</t>
        </is>
      </c>
      <c r="L69" s="89" t="inlineStr">
        <is>
          <t>P</t>
        </is>
      </c>
      <c r="M69" s="89" t="inlineStr">
        <is>
          <t>P</t>
        </is>
      </c>
      <c r="N69" s="89" t="inlineStr">
        <is>
          <t>P</t>
        </is>
      </c>
      <c r="O69" s="89" t="inlineStr">
        <is>
          <t>P</t>
        </is>
      </c>
      <c r="P69" s="89" t="inlineStr">
        <is>
          <t>P</t>
        </is>
      </c>
      <c r="Q69" s="89" t="inlineStr">
        <is>
          <t>P</t>
        </is>
      </c>
      <c r="R69" s="89" t="inlineStr">
        <is>
          <t>P</t>
        </is>
      </c>
      <c r="S69" s="89" t="inlineStr">
        <is>
          <t>P</t>
        </is>
      </c>
      <c r="T69" s="89" t="inlineStr">
        <is>
          <t>P</t>
        </is>
      </c>
      <c r="U69" s="89" t="inlineStr">
        <is>
          <t>P</t>
        </is>
      </c>
      <c r="V69" s="89" t="inlineStr">
        <is>
          <t>P</t>
        </is>
      </c>
      <c r="W69" s="89" t="inlineStr">
        <is>
          <t>P</t>
        </is>
      </c>
      <c r="X69" s="89" t="inlineStr">
        <is>
          <t>P</t>
        </is>
      </c>
      <c r="Y69" s="89" t="inlineStr">
        <is>
          <t>P</t>
        </is>
      </c>
      <c r="Z69" s="89" t="inlineStr">
        <is>
          <t>P</t>
        </is>
      </c>
      <c r="AA69" s="89" t="inlineStr">
        <is>
          <t>UA</t>
        </is>
      </c>
      <c r="AB69" s="89" t="inlineStr">
        <is>
          <t>UA</t>
        </is>
      </c>
      <c r="AC69" s="89" t="inlineStr">
        <is>
          <t>UA</t>
        </is>
      </c>
      <c r="AD69" s="89" t="inlineStr">
        <is>
          <t>UA</t>
        </is>
      </c>
      <c r="AE69" s="89" t="inlineStr">
        <is>
          <t>UA</t>
        </is>
      </c>
      <c r="AF69" s="89" t="inlineStr">
        <is>
          <t>UA</t>
        </is>
      </c>
      <c r="AG69" s="89" t="inlineStr">
        <is>
          <t>UA</t>
        </is>
      </c>
      <c r="AH69" s="89" t="inlineStr">
        <is>
          <t>P</t>
        </is>
      </c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8">
        <f>IF($A70="","",'Employee Master'!C70)</f>
        <v/>
      </c>
      <c r="D70" s="89" t="inlineStr">
        <is>
          <t>P</t>
        </is>
      </c>
      <c r="E70" s="89" t="inlineStr">
        <is>
          <t>P</t>
        </is>
      </c>
      <c r="F70" s="89" t="inlineStr">
        <is>
          <t>P</t>
        </is>
      </c>
      <c r="G70" s="89" t="inlineStr">
        <is>
          <t>P</t>
        </is>
      </c>
      <c r="H70" s="89" t="inlineStr">
        <is>
          <t>P</t>
        </is>
      </c>
      <c r="I70" s="89" t="inlineStr">
        <is>
          <t>P</t>
        </is>
      </c>
      <c r="J70" s="89" t="inlineStr">
        <is>
          <t>P</t>
        </is>
      </c>
      <c r="K70" s="89" t="inlineStr">
        <is>
          <t>P</t>
        </is>
      </c>
      <c r="L70" s="89" t="inlineStr">
        <is>
          <t>P</t>
        </is>
      </c>
      <c r="M70" s="89" t="inlineStr">
        <is>
          <t>P</t>
        </is>
      </c>
      <c r="N70" s="121" t="inlineStr">
        <is>
          <t>UA</t>
        </is>
      </c>
      <c r="O70" s="89" t="inlineStr">
        <is>
          <t>P</t>
        </is>
      </c>
      <c r="P70" s="89" t="inlineStr">
        <is>
          <t>P</t>
        </is>
      </c>
      <c r="Q70" s="89" t="inlineStr">
        <is>
          <t>P</t>
        </is>
      </c>
      <c r="R70" s="89" t="inlineStr">
        <is>
          <t>P</t>
        </is>
      </c>
      <c r="S70" s="121" t="inlineStr">
        <is>
          <t>UA</t>
        </is>
      </c>
      <c r="T70" s="121" t="inlineStr">
        <is>
          <t>UA</t>
        </is>
      </c>
      <c r="U70" s="121" t="inlineStr">
        <is>
          <t>UA</t>
        </is>
      </c>
      <c r="V70" s="121" t="inlineStr">
        <is>
          <t>UA</t>
        </is>
      </c>
      <c r="W70" s="121" t="inlineStr">
        <is>
          <t>UA</t>
        </is>
      </c>
      <c r="X70" s="121" t="inlineStr">
        <is>
          <t>UA</t>
        </is>
      </c>
      <c r="Y70" s="121" t="inlineStr">
        <is>
          <t>UA</t>
        </is>
      </c>
      <c r="Z70" s="121" t="inlineStr">
        <is>
          <t>UA</t>
        </is>
      </c>
      <c r="AA70" s="89" t="inlineStr">
        <is>
          <t>UA</t>
        </is>
      </c>
      <c r="AB70" s="89" t="inlineStr">
        <is>
          <t>UA</t>
        </is>
      </c>
      <c r="AC70" s="89" t="inlineStr">
        <is>
          <t>UA</t>
        </is>
      </c>
      <c r="AD70" s="89" t="inlineStr">
        <is>
          <t>UA</t>
        </is>
      </c>
      <c r="AE70" s="89" t="inlineStr">
        <is>
          <t>UA</t>
        </is>
      </c>
      <c r="AF70" s="89" t="inlineStr">
        <is>
          <t>UA</t>
        </is>
      </c>
      <c r="AG70" s="89" t="inlineStr">
        <is>
          <t>UA</t>
        </is>
      </c>
      <c r="AH70" s="89" t="inlineStr">
        <is>
          <t>P</t>
        </is>
      </c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8">
        <f>IF($A71="","",'Employee Master'!C71)</f>
        <v/>
      </c>
      <c r="D71" s="89" t="inlineStr">
        <is>
          <t>P</t>
        </is>
      </c>
      <c r="E71" s="89" t="inlineStr">
        <is>
          <t>P</t>
        </is>
      </c>
      <c r="F71" s="89" t="inlineStr">
        <is>
          <t>P</t>
        </is>
      </c>
      <c r="G71" s="89" t="inlineStr">
        <is>
          <t>P</t>
        </is>
      </c>
      <c r="H71" s="89" t="inlineStr">
        <is>
          <t>P</t>
        </is>
      </c>
      <c r="I71" s="89" t="inlineStr">
        <is>
          <t>P</t>
        </is>
      </c>
      <c r="J71" s="89" t="inlineStr">
        <is>
          <t>P</t>
        </is>
      </c>
      <c r="K71" s="89" t="inlineStr">
        <is>
          <t>P</t>
        </is>
      </c>
      <c r="L71" s="89" t="inlineStr">
        <is>
          <t>P</t>
        </is>
      </c>
      <c r="M71" s="89" t="inlineStr">
        <is>
          <t>P</t>
        </is>
      </c>
      <c r="N71" s="89" t="inlineStr">
        <is>
          <t>P</t>
        </is>
      </c>
      <c r="O71" s="89" t="inlineStr">
        <is>
          <t>P</t>
        </is>
      </c>
      <c r="P71" s="89" t="inlineStr">
        <is>
          <t>P</t>
        </is>
      </c>
      <c r="Q71" s="89" t="inlineStr">
        <is>
          <t>P</t>
        </is>
      </c>
      <c r="R71" s="89" t="inlineStr">
        <is>
          <t>P</t>
        </is>
      </c>
      <c r="S71" s="89" t="inlineStr">
        <is>
          <t>P</t>
        </is>
      </c>
      <c r="T71" s="89" t="inlineStr">
        <is>
          <t>P</t>
        </is>
      </c>
      <c r="U71" s="89" t="inlineStr">
        <is>
          <t>P</t>
        </is>
      </c>
      <c r="V71" s="89" t="inlineStr">
        <is>
          <t>P</t>
        </is>
      </c>
      <c r="W71" s="89" t="inlineStr">
        <is>
          <t>P</t>
        </is>
      </c>
      <c r="X71" s="89" t="inlineStr">
        <is>
          <t>P</t>
        </is>
      </c>
      <c r="Y71" s="89" t="inlineStr">
        <is>
          <t>P</t>
        </is>
      </c>
      <c r="Z71" s="89" t="inlineStr">
        <is>
          <t>P</t>
        </is>
      </c>
      <c r="AA71" s="89" t="inlineStr">
        <is>
          <t>UA</t>
        </is>
      </c>
      <c r="AB71" s="89" t="inlineStr">
        <is>
          <t>UA</t>
        </is>
      </c>
      <c r="AC71" s="89" t="inlineStr">
        <is>
          <t>UA</t>
        </is>
      </c>
      <c r="AD71" s="89" t="inlineStr">
        <is>
          <t>UA</t>
        </is>
      </c>
      <c r="AE71" s="89" t="inlineStr">
        <is>
          <t>UA</t>
        </is>
      </c>
      <c r="AF71" s="89" t="inlineStr">
        <is>
          <t>UA</t>
        </is>
      </c>
      <c r="AG71" s="89" t="inlineStr">
        <is>
          <t>UA</t>
        </is>
      </c>
      <c r="AH71" s="89" t="inlineStr">
        <is>
          <t>UA</t>
        </is>
      </c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inlineStr">
        <is>
          <t>Working 2 days/week — update P days manually</t>
        </is>
      </c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8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8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8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8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8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8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8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8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8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8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8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8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8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8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8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8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8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8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8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8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8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8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8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8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8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8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8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8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8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8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8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8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8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8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8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8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A41" activeCellId="0" sqref="AA41"/>
    </sheetView>
  </sheetViews>
  <sheetFormatPr baseColWidth="8" defaultRowHeight="14.45" zeroHeight="0" outlineLevelRow="0"/>
  <cols>
    <col width="28.14" customWidth="1" style="56" min="1" max="1"/>
    <col width="26.85" customWidth="1" style="56" min="2" max="2"/>
    <col width="19.99" customWidth="1" style="56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5.57" customWidth="1" style="78" min="48" max="48"/>
    <col width="31.01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April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Panel'!$B$3,4,1)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3.9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8">
        <f>IF($A8="","",'Employee Master'!C8)</f>
        <v/>
      </c>
      <c r="D8" s="89" t="inlineStr">
        <is>
          <t>P</t>
        </is>
      </c>
      <c r="E8" s="89" t="inlineStr">
        <is>
          <t>P</t>
        </is>
      </c>
      <c r="F8" s="89" t="inlineStr">
        <is>
          <t>P</t>
        </is>
      </c>
      <c r="G8" s="89" t="inlineStr">
        <is>
          <t>P</t>
        </is>
      </c>
      <c r="H8" s="89" t="inlineStr">
        <is>
          <t>P</t>
        </is>
      </c>
      <c r="I8" s="89" t="inlineStr">
        <is>
          <t>P</t>
        </is>
      </c>
      <c r="J8" s="89" t="inlineStr">
        <is>
          <t>P</t>
        </is>
      </c>
      <c r="K8" s="89" t="inlineStr">
        <is>
          <t>P</t>
        </is>
      </c>
      <c r="L8" s="89" t="inlineStr">
        <is>
          <t>P</t>
        </is>
      </c>
      <c r="M8" s="89" t="inlineStr">
        <is>
          <t>P</t>
        </is>
      </c>
      <c r="N8" s="89" t="inlineStr">
        <is>
          <t>P</t>
        </is>
      </c>
      <c r="O8" s="89" t="inlineStr">
        <is>
          <t>P</t>
        </is>
      </c>
      <c r="P8" s="89" t="inlineStr">
        <is>
          <t>P</t>
        </is>
      </c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8">
        <f>IF($A9="","",'Employee Master'!C9)</f>
        <v/>
      </c>
      <c r="D9" s="89" t="inlineStr">
        <is>
          <t>P</t>
        </is>
      </c>
      <c r="E9" s="89" t="inlineStr">
        <is>
          <t>P</t>
        </is>
      </c>
      <c r="F9" s="89" t="inlineStr">
        <is>
          <t>P</t>
        </is>
      </c>
      <c r="G9" s="89" t="inlineStr">
        <is>
          <t>P</t>
        </is>
      </c>
      <c r="H9" s="89" t="inlineStr">
        <is>
          <t>P</t>
        </is>
      </c>
      <c r="I9" s="89" t="inlineStr">
        <is>
          <t>P</t>
        </is>
      </c>
      <c r="J9" s="89" t="inlineStr">
        <is>
          <t>P</t>
        </is>
      </c>
      <c r="K9" s="89" t="inlineStr">
        <is>
          <t>P</t>
        </is>
      </c>
      <c r="L9" s="89" t="inlineStr">
        <is>
          <t>P</t>
        </is>
      </c>
      <c r="M9" s="89" t="inlineStr">
        <is>
          <t>P</t>
        </is>
      </c>
      <c r="N9" s="89" t="inlineStr">
        <is>
          <t>P</t>
        </is>
      </c>
      <c r="O9" s="89" t="inlineStr">
        <is>
          <t>P</t>
        </is>
      </c>
      <c r="P9" s="89" t="inlineStr">
        <is>
          <t>P</t>
        </is>
      </c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8">
        <f>IF($A10="","",'Employee Master'!C10)</f>
        <v/>
      </c>
      <c r="D10" s="89" t="inlineStr">
        <is>
          <t>P</t>
        </is>
      </c>
      <c r="E10" s="89" t="inlineStr">
        <is>
          <t>P</t>
        </is>
      </c>
      <c r="F10" s="89" t="inlineStr">
        <is>
          <t>P</t>
        </is>
      </c>
      <c r="G10" s="89" t="inlineStr">
        <is>
          <t>P</t>
        </is>
      </c>
      <c r="H10" s="89" t="inlineStr">
        <is>
          <t>P</t>
        </is>
      </c>
      <c r="I10" s="89" t="inlineStr">
        <is>
          <t>P</t>
        </is>
      </c>
      <c r="J10" s="89" t="inlineStr">
        <is>
          <t>P</t>
        </is>
      </c>
      <c r="K10" s="89" t="inlineStr">
        <is>
          <t>P</t>
        </is>
      </c>
      <c r="L10" s="89" t="inlineStr">
        <is>
          <t>P</t>
        </is>
      </c>
      <c r="M10" s="89" t="inlineStr">
        <is>
          <t>P</t>
        </is>
      </c>
      <c r="N10" s="89" t="inlineStr">
        <is>
          <t>P</t>
        </is>
      </c>
      <c r="O10" s="89" t="inlineStr">
        <is>
          <t>P</t>
        </is>
      </c>
      <c r="P10" s="89" t="inlineStr">
        <is>
          <t>P</t>
        </is>
      </c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8">
        <f>IF($A11="","",'Employee Master'!C11)</f>
        <v/>
      </c>
      <c r="D11" s="89" t="inlineStr">
        <is>
          <t>P</t>
        </is>
      </c>
      <c r="E11" s="89" t="inlineStr">
        <is>
          <t>P</t>
        </is>
      </c>
      <c r="F11" s="89" t="inlineStr">
        <is>
          <t>P</t>
        </is>
      </c>
      <c r="G11" s="89" t="inlineStr">
        <is>
          <t>P</t>
        </is>
      </c>
      <c r="H11" s="89" t="inlineStr">
        <is>
          <t>P</t>
        </is>
      </c>
      <c r="I11" s="89" t="inlineStr">
        <is>
          <t>P</t>
        </is>
      </c>
      <c r="J11" s="89" t="inlineStr">
        <is>
          <t>P</t>
        </is>
      </c>
      <c r="K11" s="89" t="inlineStr">
        <is>
          <t>P</t>
        </is>
      </c>
      <c r="L11" s="89" t="inlineStr">
        <is>
          <t>P</t>
        </is>
      </c>
      <c r="M11" s="89" t="inlineStr">
        <is>
          <t>P</t>
        </is>
      </c>
      <c r="N11" s="89" t="inlineStr">
        <is>
          <t>P</t>
        </is>
      </c>
      <c r="O11" s="89" t="inlineStr">
        <is>
          <t>P</t>
        </is>
      </c>
      <c r="P11" s="89" t="inlineStr">
        <is>
          <t>P</t>
        </is>
      </c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8">
        <f>IF($A12="","",'Employee Master'!C12)</f>
        <v/>
      </c>
      <c r="D12" s="89" t="inlineStr">
        <is>
          <t>P</t>
        </is>
      </c>
      <c r="E12" s="89" t="inlineStr">
        <is>
          <t>P</t>
        </is>
      </c>
      <c r="F12" s="89" t="inlineStr">
        <is>
          <t>P</t>
        </is>
      </c>
      <c r="G12" s="89" t="inlineStr">
        <is>
          <t>P</t>
        </is>
      </c>
      <c r="H12" s="89" t="inlineStr">
        <is>
          <t>P</t>
        </is>
      </c>
      <c r="I12" s="89" t="inlineStr">
        <is>
          <t>P</t>
        </is>
      </c>
      <c r="J12" s="89" t="inlineStr">
        <is>
          <t>P</t>
        </is>
      </c>
      <c r="K12" s="89" t="inlineStr">
        <is>
          <t>P</t>
        </is>
      </c>
      <c r="L12" s="89" t="inlineStr">
        <is>
          <t>P</t>
        </is>
      </c>
      <c r="M12" s="89" t="inlineStr">
        <is>
          <t>P</t>
        </is>
      </c>
      <c r="N12" s="89" t="inlineStr">
        <is>
          <t>P</t>
        </is>
      </c>
      <c r="O12" s="89" t="inlineStr">
        <is>
          <t>P</t>
        </is>
      </c>
      <c r="P12" s="89" t="inlineStr">
        <is>
          <t>P</t>
        </is>
      </c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8">
        <f>IF($A13="","",'Employee Master'!C13)</f>
        <v/>
      </c>
      <c r="D13" s="89" t="inlineStr">
        <is>
          <t>P</t>
        </is>
      </c>
      <c r="E13" s="89" t="inlineStr">
        <is>
          <t>P</t>
        </is>
      </c>
      <c r="F13" s="89" t="inlineStr">
        <is>
          <t>P</t>
        </is>
      </c>
      <c r="G13" s="89" t="inlineStr">
        <is>
          <t>P</t>
        </is>
      </c>
      <c r="H13" s="89" t="inlineStr">
        <is>
          <t>P</t>
        </is>
      </c>
      <c r="I13" s="89" t="inlineStr">
        <is>
          <t>P</t>
        </is>
      </c>
      <c r="J13" s="89" t="inlineStr">
        <is>
          <t>P</t>
        </is>
      </c>
      <c r="K13" s="89" t="inlineStr">
        <is>
          <t>P</t>
        </is>
      </c>
      <c r="L13" s="89" t="inlineStr">
        <is>
          <t>P</t>
        </is>
      </c>
      <c r="M13" s="89" t="inlineStr">
        <is>
          <t>P</t>
        </is>
      </c>
      <c r="N13" s="89" t="inlineStr">
        <is>
          <t>P</t>
        </is>
      </c>
      <c r="O13" s="89" t="inlineStr">
        <is>
          <t>P</t>
        </is>
      </c>
      <c r="P13" s="89" t="inlineStr">
        <is>
          <t>P</t>
        </is>
      </c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8">
        <f>IF($A14="","",'Employee Master'!C14)</f>
        <v/>
      </c>
      <c r="D14" s="89" t="inlineStr">
        <is>
          <t>P</t>
        </is>
      </c>
      <c r="E14" s="89" t="inlineStr">
        <is>
          <t>P</t>
        </is>
      </c>
      <c r="F14" s="89" t="inlineStr">
        <is>
          <t>P</t>
        </is>
      </c>
      <c r="G14" s="89" t="inlineStr">
        <is>
          <t>P</t>
        </is>
      </c>
      <c r="H14" s="89" t="inlineStr">
        <is>
          <t>P</t>
        </is>
      </c>
      <c r="I14" s="89" t="inlineStr">
        <is>
          <t>P</t>
        </is>
      </c>
      <c r="J14" s="89" t="inlineStr">
        <is>
          <t>P</t>
        </is>
      </c>
      <c r="K14" s="89" t="inlineStr">
        <is>
          <t>P</t>
        </is>
      </c>
      <c r="L14" s="89" t="inlineStr">
        <is>
          <t>P</t>
        </is>
      </c>
      <c r="M14" s="89" t="inlineStr">
        <is>
          <t>P</t>
        </is>
      </c>
      <c r="N14" s="89" t="inlineStr">
        <is>
          <t>P</t>
        </is>
      </c>
      <c r="O14" s="89" t="inlineStr">
        <is>
          <t>P</t>
        </is>
      </c>
      <c r="P14" s="89" t="inlineStr">
        <is>
          <t>P</t>
        </is>
      </c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8">
        <f>IF($A15="","",'Employee Master'!C15)</f>
        <v/>
      </c>
      <c r="D15" s="89" t="inlineStr">
        <is>
          <t>UA</t>
        </is>
      </c>
      <c r="E15" s="89" t="inlineStr">
        <is>
          <t>UA</t>
        </is>
      </c>
      <c r="F15" s="89" t="inlineStr">
        <is>
          <t>UA</t>
        </is>
      </c>
      <c r="G15" s="89" t="inlineStr">
        <is>
          <t>UA</t>
        </is>
      </c>
      <c r="H15" s="89" t="inlineStr">
        <is>
          <t>UA</t>
        </is>
      </c>
      <c r="I15" s="89" t="inlineStr">
        <is>
          <t>UA</t>
        </is>
      </c>
      <c r="J15" s="89" t="inlineStr">
        <is>
          <t>UA</t>
        </is>
      </c>
      <c r="K15" s="89" t="inlineStr">
        <is>
          <t>UA</t>
        </is>
      </c>
      <c r="L15" s="89" t="inlineStr">
        <is>
          <t>UA</t>
        </is>
      </c>
      <c r="M15" s="89" t="inlineStr">
        <is>
          <t>UA</t>
        </is>
      </c>
      <c r="N15" s="89" t="inlineStr">
        <is>
          <t>UA</t>
        </is>
      </c>
      <c r="O15" s="89" t="inlineStr">
        <is>
          <t>UA</t>
        </is>
      </c>
      <c r="P15" s="89" t="inlineStr">
        <is>
          <t>UA</t>
        </is>
      </c>
      <c r="Q15" s="89" t="inlineStr">
        <is>
          <t>UA</t>
        </is>
      </c>
      <c r="R15" s="89" t="inlineStr">
        <is>
          <t>UA</t>
        </is>
      </c>
      <c r="S15" s="89" t="inlineStr">
        <is>
          <t>UA</t>
        </is>
      </c>
      <c r="T15" s="89" t="inlineStr">
        <is>
          <t>UA</t>
        </is>
      </c>
      <c r="U15" s="89" t="inlineStr">
        <is>
          <t>UA</t>
        </is>
      </c>
      <c r="V15" s="89" t="inlineStr">
        <is>
          <t>UA</t>
        </is>
      </c>
      <c r="W15" s="89" t="inlineStr">
        <is>
          <t>UA</t>
        </is>
      </c>
      <c r="X15" s="89" t="inlineStr">
        <is>
          <t>UA</t>
        </is>
      </c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8">
        <f>IF($A16="","",'Employee Master'!C16)</f>
        <v/>
      </c>
      <c r="D16" s="89" t="inlineStr">
        <is>
          <t>P</t>
        </is>
      </c>
      <c r="E16" s="89" t="inlineStr">
        <is>
          <t>P</t>
        </is>
      </c>
      <c r="F16" s="89" t="inlineStr">
        <is>
          <t>P</t>
        </is>
      </c>
      <c r="G16" s="89" t="inlineStr">
        <is>
          <t>P</t>
        </is>
      </c>
      <c r="H16" s="89" t="inlineStr">
        <is>
          <t>P</t>
        </is>
      </c>
      <c r="I16" s="89" t="inlineStr">
        <is>
          <t>P</t>
        </is>
      </c>
      <c r="J16" s="89" t="inlineStr">
        <is>
          <t>P</t>
        </is>
      </c>
      <c r="K16" s="89" t="inlineStr">
        <is>
          <t>P</t>
        </is>
      </c>
      <c r="L16" s="89" t="inlineStr">
        <is>
          <t>P</t>
        </is>
      </c>
      <c r="M16" s="89" t="inlineStr">
        <is>
          <t>P</t>
        </is>
      </c>
      <c r="N16" s="89" t="inlineStr">
        <is>
          <t>P</t>
        </is>
      </c>
      <c r="O16" s="89" t="inlineStr">
        <is>
          <t>P</t>
        </is>
      </c>
      <c r="P16" s="89" t="inlineStr">
        <is>
          <t>P</t>
        </is>
      </c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8">
        <f>IF($A17="","",'Employee Master'!C17)</f>
        <v/>
      </c>
      <c r="D17" s="89" t="inlineStr">
        <is>
          <t>P</t>
        </is>
      </c>
      <c r="E17" s="89" t="inlineStr">
        <is>
          <t>P</t>
        </is>
      </c>
      <c r="F17" s="89" t="inlineStr">
        <is>
          <t>P</t>
        </is>
      </c>
      <c r="G17" s="89" t="inlineStr">
        <is>
          <t>P</t>
        </is>
      </c>
      <c r="H17" s="89" t="inlineStr">
        <is>
          <t>P</t>
        </is>
      </c>
      <c r="I17" s="89" t="inlineStr">
        <is>
          <t>P</t>
        </is>
      </c>
      <c r="J17" s="89" t="inlineStr">
        <is>
          <t>P</t>
        </is>
      </c>
      <c r="K17" s="89" t="inlineStr">
        <is>
          <t>P</t>
        </is>
      </c>
      <c r="L17" s="89" t="inlineStr">
        <is>
          <t>P</t>
        </is>
      </c>
      <c r="M17" s="89" t="inlineStr">
        <is>
          <t>P</t>
        </is>
      </c>
      <c r="N17" s="89" t="inlineStr">
        <is>
          <t>P</t>
        </is>
      </c>
      <c r="O17" s="89" t="inlineStr">
        <is>
          <t>P</t>
        </is>
      </c>
      <c r="P17" s="89" t="inlineStr">
        <is>
          <t>P</t>
        </is>
      </c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8">
        <f>IF($A18="","",'Employee Master'!C18)</f>
        <v/>
      </c>
      <c r="D18" s="89" t="inlineStr">
        <is>
          <t>P</t>
        </is>
      </c>
      <c r="E18" s="89" t="inlineStr">
        <is>
          <t>P</t>
        </is>
      </c>
      <c r="F18" s="89" t="inlineStr">
        <is>
          <t>P</t>
        </is>
      </c>
      <c r="G18" s="89" t="inlineStr">
        <is>
          <t>P</t>
        </is>
      </c>
      <c r="H18" s="89" t="inlineStr">
        <is>
          <t>P</t>
        </is>
      </c>
      <c r="I18" s="89" t="inlineStr">
        <is>
          <t>P</t>
        </is>
      </c>
      <c r="J18" s="89" t="inlineStr">
        <is>
          <t>P</t>
        </is>
      </c>
      <c r="K18" s="89" t="inlineStr">
        <is>
          <t>P</t>
        </is>
      </c>
      <c r="L18" s="89" t="inlineStr">
        <is>
          <t>P</t>
        </is>
      </c>
      <c r="M18" s="89" t="inlineStr">
        <is>
          <t>P</t>
        </is>
      </c>
      <c r="N18" s="89" t="inlineStr">
        <is>
          <t>P</t>
        </is>
      </c>
      <c r="O18" s="89" t="inlineStr">
        <is>
          <t>P</t>
        </is>
      </c>
      <c r="P18" s="89" t="inlineStr">
        <is>
          <t>P</t>
        </is>
      </c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8">
        <f>IF($A19="","",'Employee Master'!C19)</f>
        <v/>
      </c>
      <c r="D19" s="89" t="inlineStr">
        <is>
          <t>P</t>
        </is>
      </c>
      <c r="E19" s="89" t="inlineStr">
        <is>
          <t>P</t>
        </is>
      </c>
      <c r="F19" s="89" t="inlineStr">
        <is>
          <t>P</t>
        </is>
      </c>
      <c r="G19" s="89" t="inlineStr">
        <is>
          <t>P</t>
        </is>
      </c>
      <c r="H19" s="89" t="inlineStr">
        <is>
          <t>P</t>
        </is>
      </c>
      <c r="I19" s="89" t="inlineStr">
        <is>
          <t>P</t>
        </is>
      </c>
      <c r="J19" s="89" t="inlineStr">
        <is>
          <t>P</t>
        </is>
      </c>
      <c r="K19" s="89" t="inlineStr">
        <is>
          <t>P</t>
        </is>
      </c>
      <c r="L19" s="89" t="inlineStr">
        <is>
          <t>P</t>
        </is>
      </c>
      <c r="M19" s="89" t="inlineStr">
        <is>
          <t>P</t>
        </is>
      </c>
      <c r="N19" s="89" t="inlineStr">
        <is>
          <t>P</t>
        </is>
      </c>
      <c r="O19" s="89" t="inlineStr">
        <is>
          <t>P</t>
        </is>
      </c>
      <c r="P19" s="89" t="inlineStr">
        <is>
          <t>P</t>
        </is>
      </c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8">
        <f>IF($A20="","",'Employee Master'!C20)</f>
        <v/>
      </c>
      <c r="D20" s="89" t="inlineStr">
        <is>
          <t>P</t>
        </is>
      </c>
      <c r="E20" s="89" t="inlineStr">
        <is>
          <t>P</t>
        </is>
      </c>
      <c r="F20" s="89" t="inlineStr">
        <is>
          <t>P</t>
        </is>
      </c>
      <c r="G20" s="89" t="inlineStr">
        <is>
          <t>P</t>
        </is>
      </c>
      <c r="H20" s="89" t="inlineStr">
        <is>
          <t>P</t>
        </is>
      </c>
      <c r="I20" s="89" t="inlineStr">
        <is>
          <t>P</t>
        </is>
      </c>
      <c r="J20" s="89" t="inlineStr">
        <is>
          <t>P</t>
        </is>
      </c>
      <c r="K20" s="89" t="inlineStr">
        <is>
          <t>P</t>
        </is>
      </c>
      <c r="L20" s="89" t="inlineStr">
        <is>
          <t>P</t>
        </is>
      </c>
      <c r="M20" s="89" t="inlineStr">
        <is>
          <t>P</t>
        </is>
      </c>
      <c r="N20" s="89" t="inlineStr">
        <is>
          <t>P</t>
        </is>
      </c>
      <c r="O20" s="89" t="inlineStr">
        <is>
          <t>P</t>
        </is>
      </c>
      <c r="P20" s="89" t="inlineStr">
        <is>
          <t>P</t>
        </is>
      </c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8">
        <f>IF($A21="","",'Employee Master'!C21)</f>
        <v/>
      </c>
      <c r="D21" s="89" t="inlineStr">
        <is>
          <t>P</t>
        </is>
      </c>
      <c r="E21" s="89" t="inlineStr">
        <is>
          <t>P</t>
        </is>
      </c>
      <c r="F21" s="89" t="inlineStr">
        <is>
          <t>P</t>
        </is>
      </c>
      <c r="G21" s="89" t="inlineStr">
        <is>
          <t>P</t>
        </is>
      </c>
      <c r="H21" s="89" t="inlineStr">
        <is>
          <t>P</t>
        </is>
      </c>
      <c r="I21" s="89" t="inlineStr">
        <is>
          <t>P</t>
        </is>
      </c>
      <c r="J21" s="89" t="inlineStr">
        <is>
          <t>P</t>
        </is>
      </c>
      <c r="K21" s="89" t="inlineStr">
        <is>
          <t>P</t>
        </is>
      </c>
      <c r="L21" s="89" t="inlineStr">
        <is>
          <t>P</t>
        </is>
      </c>
      <c r="M21" s="89" t="inlineStr">
        <is>
          <t>P</t>
        </is>
      </c>
      <c r="N21" s="89" t="inlineStr">
        <is>
          <t>P</t>
        </is>
      </c>
      <c r="O21" s="89" t="inlineStr">
        <is>
          <t>P</t>
        </is>
      </c>
      <c r="P21" s="89" t="inlineStr">
        <is>
          <t>P</t>
        </is>
      </c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8">
        <f>IF($A22="","",'Employee Master'!C22)</f>
        <v/>
      </c>
      <c r="D22" s="89" t="inlineStr">
        <is>
          <t>P</t>
        </is>
      </c>
      <c r="E22" s="89" t="inlineStr">
        <is>
          <t>P</t>
        </is>
      </c>
      <c r="F22" s="89" t="inlineStr">
        <is>
          <t>P</t>
        </is>
      </c>
      <c r="G22" s="89" t="inlineStr">
        <is>
          <t>P</t>
        </is>
      </c>
      <c r="H22" s="89" t="inlineStr">
        <is>
          <t>P</t>
        </is>
      </c>
      <c r="I22" s="89" t="inlineStr">
        <is>
          <t>P</t>
        </is>
      </c>
      <c r="J22" s="89" t="inlineStr">
        <is>
          <t>P</t>
        </is>
      </c>
      <c r="K22" s="89" t="inlineStr">
        <is>
          <t>P</t>
        </is>
      </c>
      <c r="L22" s="89" t="inlineStr">
        <is>
          <t>P</t>
        </is>
      </c>
      <c r="M22" s="89" t="inlineStr">
        <is>
          <t>P</t>
        </is>
      </c>
      <c r="N22" s="89" t="inlineStr">
        <is>
          <t>P</t>
        </is>
      </c>
      <c r="O22" s="89" t="inlineStr">
        <is>
          <t>P</t>
        </is>
      </c>
      <c r="P22" s="89" t="inlineStr">
        <is>
          <t>P</t>
        </is>
      </c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8">
        <f>IF($A23="","",'Employee Master'!C23)</f>
        <v/>
      </c>
      <c r="D23" s="89" t="inlineStr">
        <is>
          <t>P</t>
        </is>
      </c>
      <c r="E23" s="89" t="inlineStr">
        <is>
          <t>P</t>
        </is>
      </c>
      <c r="F23" s="89" t="inlineStr">
        <is>
          <t>P</t>
        </is>
      </c>
      <c r="G23" s="89" t="inlineStr">
        <is>
          <t>P</t>
        </is>
      </c>
      <c r="H23" s="89" t="inlineStr">
        <is>
          <t>P</t>
        </is>
      </c>
      <c r="I23" s="89" t="inlineStr">
        <is>
          <t>P</t>
        </is>
      </c>
      <c r="J23" s="89" t="inlineStr">
        <is>
          <t>P</t>
        </is>
      </c>
      <c r="K23" s="89" t="inlineStr">
        <is>
          <t>P</t>
        </is>
      </c>
      <c r="L23" s="89" t="inlineStr">
        <is>
          <t>P</t>
        </is>
      </c>
      <c r="M23" s="89" t="inlineStr">
        <is>
          <t>P</t>
        </is>
      </c>
      <c r="N23" s="89" t="inlineStr">
        <is>
          <t>P</t>
        </is>
      </c>
      <c r="O23" s="89" t="inlineStr">
        <is>
          <t>P</t>
        </is>
      </c>
      <c r="P23" s="89" t="inlineStr">
        <is>
          <t>P</t>
        </is>
      </c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8">
        <f>IF($A24="","",'Employee Master'!C24)</f>
        <v/>
      </c>
      <c r="D24" s="89" t="inlineStr">
        <is>
          <t>P</t>
        </is>
      </c>
      <c r="E24" s="89" t="inlineStr">
        <is>
          <t>P</t>
        </is>
      </c>
      <c r="F24" s="89" t="inlineStr">
        <is>
          <t>P</t>
        </is>
      </c>
      <c r="G24" s="89" t="inlineStr">
        <is>
          <t>P</t>
        </is>
      </c>
      <c r="H24" s="89" t="inlineStr">
        <is>
          <t>P</t>
        </is>
      </c>
      <c r="I24" s="89" t="inlineStr">
        <is>
          <t>P</t>
        </is>
      </c>
      <c r="J24" s="89" t="inlineStr">
        <is>
          <t>P</t>
        </is>
      </c>
      <c r="K24" s="89" t="inlineStr">
        <is>
          <t>P</t>
        </is>
      </c>
      <c r="L24" s="89" t="inlineStr">
        <is>
          <t>P</t>
        </is>
      </c>
      <c r="M24" s="89" t="inlineStr">
        <is>
          <t>P</t>
        </is>
      </c>
      <c r="N24" s="89" t="inlineStr">
        <is>
          <t>P</t>
        </is>
      </c>
      <c r="O24" s="89" t="inlineStr">
        <is>
          <t>P</t>
        </is>
      </c>
      <c r="P24" s="89" t="inlineStr">
        <is>
          <t>P</t>
        </is>
      </c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8">
        <f>IF($A25="","",'Employee Master'!C25)</f>
        <v/>
      </c>
      <c r="D25" s="89" t="inlineStr">
        <is>
          <t>P</t>
        </is>
      </c>
      <c r="E25" s="89" t="inlineStr">
        <is>
          <t>P</t>
        </is>
      </c>
      <c r="F25" s="89" t="inlineStr">
        <is>
          <t>P</t>
        </is>
      </c>
      <c r="G25" s="89" t="inlineStr">
        <is>
          <t>P</t>
        </is>
      </c>
      <c r="H25" s="89" t="inlineStr">
        <is>
          <t>P</t>
        </is>
      </c>
      <c r="I25" s="89" t="inlineStr">
        <is>
          <t>P</t>
        </is>
      </c>
      <c r="J25" s="89" t="inlineStr">
        <is>
          <t>P</t>
        </is>
      </c>
      <c r="K25" s="89" t="inlineStr">
        <is>
          <t>P</t>
        </is>
      </c>
      <c r="L25" s="89" t="inlineStr">
        <is>
          <t>P</t>
        </is>
      </c>
      <c r="M25" s="89" t="inlineStr">
        <is>
          <t>P</t>
        </is>
      </c>
      <c r="N25" s="89" t="inlineStr">
        <is>
          <t>P</t>
        </is>
      </c>
      <c r="O25" s="89" t="inlineStr">
        <is>
          <t>P</t>
        </is>
      </c>
      <c r="P25" s="89" t="inlineStr">
        <is>
          <t>P</t>
        </is>
      </c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8">
        <f>IF($A26="","",'Employee Master'!C26)</f>
        <v/>
      </c>
      <c r="D26" s="89" t="inlineStr">
        <is>
          <t>P</t>
        </is>
      </c>
      <c r="E26" s="89" t="inlineStr">
        <is>
          <t>P</t>
        </is>
      </c>
      <c r="F26" s="89" t="inlineStr">
        <is>
          <t>P</t>
        </is>
      </c>
      <c r="G26" s="89" t="inlineStr">
        <is>
          <t>P</t>
        </is>
      </c>
      <c r="H26" s="89" t="inlineStr">
        <is>
          <t>P</t>
        </is>
      </c>
      <c r="I26" s="89" t="inlineStr">
        <is>
          <t>P</t>
        </is>
      </c>
      <c r="J26" s="89" t="inlineStr">
        <is>
          <t>P</t>
        </is>
      </c>
      <c r="K26" s="89" t="inlineStr">
        <is>
          <t>P</t>
        </is>
      </c>
      <c r="L26" s="89" t="inlineStr">
        <is>
          <t>P</t>
        </is>
      </c>
      <c r="M26" s="89" t="inlineStr">
        <is>
          <t>P</t>
        </is>
      </c>
      <c r="N26" s="89" t="inlineStr">
        <is>
          <t>P</t>
        </is>
      </c>
      <c r="O26" s="89" t="inlineStr">
        <is>
          <t>P</t>
        </is>
      </c>
      <c r="P26" s="89" t="inlineStr">
        <is>
          <t>P</t>
        </is>
      </c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8">
        <f>IF($A27="","",'Employee Master'!C27)</f>
        <v/>
      </c>
      <c r="D27" s="89" t="inlineStr">
        <is>
          <t>P</t>
        </is>
      </c>
      <c r="E27" s="89" t="inlineStr">
        <is>
          <t>P</t>
        </is>
      </c>
      <c r="F27" s="89" t="inlineStr">
        <is>
          <t>P</t>
        </is>
      </c>
      <c r="G27" s="89" t="inlineStr">
        <is>
          <t>P</t>
        </is>
      </c>
      <c r="H27" s="89" t="inlineStr">
        <is>
          <t>P</t>
        </is>
      </c>
      <c r="I27" s="89" t="inlineStr">
        <is>
          <t>P</t>
        </is>
      </c>
      <c r="J27" s="89" t="inlineStr">
        <is>
          <t>P</t>
        </is>
      </c>
      <c r="K27" s="89" t="inlineStr">
        <is>
          <t>P</t>
        </is>
      </c>
      <c r="L27" s="89" t="inlineStr">
        <is>
          <t>P</t>
        </is>
      </c>
      <c r="M27" s="89" t="inlineStr">
        <is>
          <t>P</t>
        </is>
      </c>
      <c r="N27" s="89" t="inlineStr">
        <is>
          <t>P</t>
        </is>
      </c>
      <c r="O27" s="89" t="inlineStr">
        <is>
          <t>P</t>
        </is>
      </c>
      <c r="P27" s="89" t="inlineStr">
        <is>
          <t>P</t>
        </is>
      </c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8">
        <f>IF($A28="","",'Employee Master'!C28)</f>
        <v/>
      </c>
      <c r="D28" s="89" t="inlineStr">
        <is>
          <t>UA</t>
        </is>
      </c>
      <c r="E28" s="89" t="inlineStr">
        <is>
          <t>UA</t>
        </is>
      </c>
      <c r="F28" s="89" t="inlineStr">
        <is>
          <t>UA</t>
        </is>
      </c>
      <c r="G28" s="89" t="inlineStr">
        <is>
          <t>UA</t>
        </is>
      </c>
      <c r="H28" s="89" t="inlineStr">
        <is>
          <t>UA</t>
        </is>
      </c>
      <c r="I28" s="89" t="inlineStr">
        <is>
          <t>UA</t>
        </is>
      </c>
      <c r="J28" s="89" t="inlineStr">
        <is>
          <t>UA</t>
        </is>
      </c>
      <c r="K28" s="89" t="inlineStr">
        <is>
          <t>UA</t>
        </is>
      </c>
      <c r="L28" s="89" t="inlineStr">
        <is>
          <t>UA</t>
        </is>
      </c>
      <c r="M28" s="89" t="inlineStr">
        <is>
          <t>UA</t>
        </is>
      </c>
      <c r="N28" s="89" t="inlineStr">
        <is>
          <t>UA</t>
        </is>
      </c>
      <c r="O28" s="89" t="inlineStr">
        <is>
          <t>UA</t>
        </is>
      </c>
      <c r="P28" s="89" t="inlineStr">
        <is>
          <t>UA</t>
        </is>
      </c>
      <c r="Q28" s="89" t="inlineStr">
        <is>
          <t>UA</t>
        </is>
      </c>
      <c r="R28" s="89" t="inlineStr">
        <is>
          <t>UA</t>
        </is>
      </c>
      <c r="S28" s="89" t="inlineStr">
        <is>
          <t>UA</t>
        </is>
      </c>
      <c r="T28" s="89" t="inlineStr">
        <is>
          <t>UA</t>
        </is>
      </c>
      <c r="U28" s="89" t="inlineStr">
        <is>
          <t>UA</t>
        </is>
      </c>
      <c r="V28" s="89" t="inlineStr">
        <is>
          <t>UA</t>
        </is>
      </c>
      <c r="W28" s="89" t="inlineStr">
        <is>
          <t>UA</t>
        </is>
      </c>
      <c r="X28" s="89" t="inlineStr">
        <is>
          <t>UA</t>
        </is>
      </c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8">
        <f>IF($A29="","",'Employee Master'!C29)</f>
        <v/>
      </c>
      <c r="D29" s="89" t="inlineStr">
        <is>
          <t>UA</t>
        </is>
      </c>
      <c r="E29" s="89" t="inlineStr">
        <is>
          <t>UA</t>
        </is>
      </c>
      <c r="F29" s="89" t="inlineStr">
        <is>
          <t>UA</t>
        </is>
      </c>
      <c r="G29" s="89" t="inlineStr">
        <is>
          <t>UA</t>
        </is>
      </c>
      <c r="H29" s="89" t="inlineStr">
        <is>
          <t>UA</t>
        </is>
      </c>
      <c r="I29" s="89" t="inlineStr">
        <is>
          <t>UA</t>
        </is>
      </c>
      <c r="J29" s="89" t="inlineStr">
        <is>
          <t>UA</t>
        </is>
      </c>
      <c r="K29" s="89" t="inlineStr">
        <is>
          <t>UA</t>
        </is>
      </c>
      <c r="L29" s="89" t="inlineStr">
        <is>
          <t>UA</t>
        </is>
      </c>
      <c r="M29" s="89" t="inlineStr">
        <is>
          <t>UA</t>
        </is>
      </c>
      <c r="N29" s="89" t="inlineStr">
        <is>
          <t>UA</t>
        </is>
      </c>
      <c r="O29" s="89" t="inlineStr">
        <is>
          <t>UA</t>
        </is>
      </c>
      <c r="P29" s="89" t="inlineStr">
        <is>
          <t>P</t>
        </is>
      </c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inlineStr">
        <is>
          <t>Working 2 days/week — update P days manually</t>
        </is>
      </c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8">
        <f>IF($A30="","",'Employee Master'!C30)</f>
        <v/>
      </c>
      <c r="D30" s="89" t="inlineStr">
        <is>
          <t>P</t>
        </is>
      </c>
      <c r="E30" s="89" t="inlineStr">
        <is>
          <t>P</t>
        </is>
      </c>
      <c r="F30" s="89" t="inlineStr">
        <is>
          <t>P</t>
        </is>
      </c>
      <c r="G30" s="89" t="inlineStr">
        <is>
          <t>P</t>
        </is>
      </c>
      <c r="H30" s="89" t="inlineStr">
        <is>
          <t>P</t>
        </is>
      </c>
      <c r="I30" s="89" t="inlineStr">
        <is>
          <t>P</t>
        </is>
      </c>
      <c r="J30" s="89" t="inlineStr">
        <is>
          <t>P</t>
        </is>
      </c>
      <c r="K30" s="89" t="inlineStr">
        <is>
          <t>P</t>
        </is>
      </c>
      <c r="L30" s="89" t="inlineStr">
        <is>
          <t>P</t>
        </is>
      </c>
      <c r="M30" s="89" t="inlineStr">
        <is>
          <t>P</t>
        </is>
      </c>
      <c r="N30" s="89" t="inlineStr">
        <is>
          <t>P</t>
        </is>
      </c>
      <c r="O30" s="89" t="inlineStr">
        <is>
          <t>P</t>
        </is>
      </c>
      <c r="P30" s="89" t="inlineStr">
        <is>
          <t>P</t>
        </is>
      </c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8">
        <f>IF($A31="","",'Employee Master'!C31)</f>
        <v/>
      </c>
      <c r="D31" s="89" t="inlineStr">
        <is>
          <t>P</t>
        </is>
      </c>
      <c r="E31" s="89" t="inlineStr">
        <is>
          <t>P</t>
        </is>
      </c>
      <c r="F31" s="89" t="inlineStr">
        <is>
          <t>P</t>
        </is>
      </c>
      <c r="G31" s="89" t="inlineStr">
        <is>
          <t>P</t>
        </is>
      </c>
      <c r="H31" s="89" t="inlineStr">
        <is>
          <t>P</t>
        </is>
      </c>
      <c r="I31" s="89" t="inlineStr">
        <is>
          <t>P</t>
        </is>
      </c>
      <c r="J31" s="89" t="inlineStr">
        <is>
          <t>P</t>
        </is>
      </c>
      <c r="K31" s="89" t="inlineStr">
        <is>
          <t>P</t>
        </is>
      </c>
      <c r="L31" s="89" t="inlineStr">
        <is>
          <t>P</t>
        </is>
      </c>
      <c r="M31" s="89" t="inlineStr">
        <is>
          <t>P</t>
        </is>
      </c>
      <c r="N31" s="89" t="inlineStr">
        <is>
          <t>P</t>
        </is>
      </c>
      <c r="O31" s="89" t="inlineStr">
        <is>
          <t>P</t>
        </is>
      </c>
      <c r="P31" s="89" t="inlineStr">
        <is>
          <t>P</t>
        </is>
      </c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8">
        <f>IF($A32="","",'Employee Master'!C32)</f>
        <v/>
      </c>
      <c r="D32" s="89" t="inlineStr">
        <is>
          <t>P</t>
        </is>
      </c>
      <c r="E32" s="89" t="inlineStr">
        <is>
          <t>P</t>
        </is>
      </c>
      <c r="F32" s="89" t="inlineStr">
        <is>
          <t>P</t>
        </is>
      </c>
      <c r="G32" s="89" t="inlineStr">
        <is>
          <t>P</t>
        </is>
      </c>
      <c r="H32" s="89" t="inlineStr">
        <is>
          <t>P</t>
        </is>
      </c>
      <c r="I32" s="89" t="inlineStr">
        <is>
          <t>P</t>
        </is>
      </c>
      <c r="J32" s="89" t="inlineStr">
        <is>
          <t>P</t>
        </is>
      </c>
      <c r="K32" s="89" t="inlineStr">
        <is>
          <t>P</t>
        </is>
      </c>
      <c r="L32" s="89" t="inlineStr">
        <is>
          <t>P</t>
        </is>
      </c>
      <c r="M32" s="89" t="inlineStr">
        <is>
          <t>P</t>
        </is>
      </c>
      <c r="N32" s="89" t="inlineStr">
        <is>
          <t>P</t>
        </is>
      </c>
      <c r="O32" s="89" t="inlineStr">
        <is>
          <t>P</t>
        </is>
      </c>
      <c r="P32" s="89" t="inlineStr">
        <is>
          <t>P</t>
        </is>
      </c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8">
        <f>IF($A33="","",'Employee Master'!C33)</f>
        <v/>
      </c>
      <c r="D33" s="89" t="inlineStr">
        <is>
          <t>P</t>
        </is>
      </c>
      <c r="E33" s="89" t="inlineStr">
        <is>
          <t>P</t>
        </is>
      </c>
      <c r="F33" s="89" t="inlineStr">
        <is>
          <t>P</t>
        </is>
      </c>
      <c r="G33" s="89" t="inlineStr">
        <is>
          <t>P</t>
        </is>
      </c>
      <c r="H33" s="89" t="inlineStr">
        <is>
          <t>P</t>
        </is>
      </c>
      <c r="I33" s="89" t="inlineStr">
        <is>
          <t>P</t>
        </is>
      </c>
      <c r="J33" s="89" t="inlineStr">
        <is>
          <t>P</t>
        </is>
      </c>
      <c r="K33" s="89" t="inlineStr">
        <is>
          <t>P</t>
        </is>
      </c>
      <c r="L33" s="89" t="inlineStr">
        <is>
          <t>P</t>
        </is>
      </c>
      <c r="M33" s="89" t="inlineStr">
        <is>
          <t>P</t>
        </is>
      </c>
      <c r="N33" s="89" t="inlineStr">
        <is>
          <t>P</t>
        </is>
      </c>
      <c r="O33" s="89" t="inlineStr">
        <is>
          <t>P</t>
        </is>
      </c>
      <c r="P33" s="89" t="inlineStr">
        <is>
          <t>P</t>
        </is>
      </c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8">
        <f>IF($A34="","",'Employee Master'!C34)</f>
        <v/>
      </c>
      <c r="D34" s="89" t="inlineStr">
        <is>
          <t>P</t>
        </is>
      </c>
      <c r="E34" s="89" t="inlineStr">
        <is>
          <t>P</t>
        </is>
      </c>
      <c r="F34" s="89" t="inlineStr">
        <is>
          <t>P</t>
        </is>
      </c>
      <c r="G34" s="89" t="inlineStr">
        <is>
          <t>P</t>
        </is>
      </c>
      <c r="H34" s="89" t="inlineStr">
        <is>
          <t>P</t>
        </is>
      </c>
      <c r="I34" s="89" t="inlineStr">
        <is>
          <t>P</t>
        </is>
      </c>
      <c r="J34" s="89" t="inlineStr">
        <is>
          <t>P</t>
        </is>
      </c>
      <c r="K34" s="89" t="inlineStr">
        <is>
          <t>P</t>
        </is>
      </c>
      <c r="L34" s="89" t="inlineStr">
        <is>
          <t>P</t>
        </is>
      </c>
      <c r="M34" s="89" t="inlineStr">
        <is>
          <t>P</t>
        </is>
      </c>
      <c r="N34" s="89" t="inlineStr">
        <is>
          <t>P</t>
        </is>
      </c>
      <c r="O34" s="89" t="inlineStr">
        <is>
          <t>P</t>
        </is>
      </c>
      <c r="P34" s="89" t="inlineStr">
        <is>
          <t>P</t>
        </is>
      </c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8">
        <f>IF($A35="","",'Employee Master'!C35)</f>
        <v/>
      </c>
      <c r="D35" s="89" t="inlineStr">
        <is>
          <t>P</t>
        </is>
      </c>
      <c r="E35" s="89" t="inlineStr">
        <is>
          <t>P</t>
        </is>
      </c>
      <c r="F35" s="89" t="inlineStr">
        <is>
          <t>P</t>
        </is>
      </c>
      <c r="G35" s="89" t="inlineStr">
        <is>
          <t>P</t>
        </is>
      </c>
      <c r="H35" s="89" t="inlineStr">
        <is>
          <t>P</t>
        </is>
      </c>
      <c r="I35" s="89" t="inlineStr">
        <is>
          <t>P</t>
        </is>
      </c>
      <c r="J35" s="89" t="inlineStr">
        <is>
          <t>P</t>
        </is>
      </c>
      <c r="K35" s="89" t="inlineStr">
        <is>
          <t>P</t>
        </is>
      </c>
      <c r="L35" s="89" t="inlineStr">
        <is>
          <t>P</t>
        </is>
      </c>
      <c r="M35" s="89" t="inlineStr">
        <is>
          <t>P</t>
        </is>
      </c>
      <c r="N35" s="89" t="inlineStr">
        <is>
          <t>P</t>
        </is>
      </c>
      <c r="O35" s="89" t="inlineStr">
        <is>
          <t>P</t>
        </is>
      </c>
      <c r="P35" s="89" t="inlineStr">
        <is>
          <t>P</t>
        </is>
      </c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8">
        <f>IF($A36="","",'Employee Master'!C36)</f>
        <v/>
      </c>
      <c r="D36" s="89" t="inlineStr">
        <is>
          <t>P</t>
        </is>
      </c>
      <c r="E36" s="89" t="inlineStr">
        <is>
          <t>P</t>
        </is>
      </c>
      <c r="F36" s="89" t="inlineStr">
        <is>
          <t>P</t>
        </is>
      </c>
      <c r="G36" s="89" t="inlineStr">
        <is>
          <t>P</t>
        </is>
      </c>
      <c r="H36" s="89" t="inlineStr">
        <is>
          <t>P</t>
        </is>
      </c>
      <c r="I36" s="89" t="inlineStr">
        <is>
          <t>P</t>
        </is>
      </c>
      <c r="J36" s="89" t="inlineStr">
        <is>
          <t>P</t>
        </is>
      </c>
      <c r="K36" s="89" t="inlineStr">
        <is>
          <t>P</t>
        </is>
      </c>
      <c r="L36" s="89" t="inlineStr">
        <is>
          <t>P</t>
        </is>
      </c>
      <c r="M36" s="89" t="inlineStr">
        <is>
          <t>P</t>
        </is>
      </c>
      <c r="N36" s="89" t="inlineStr">
        <is>
          <t>P</t>
        </is>
      </c>
      <c r="O36" s="89" t="inlineStr">
        <is>
          <t>P</t>
        </is>
      </c>
      <c r="P36" s="89" t="inlineStr">
        <is>
          <t>P</t>
        </is>
      </c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8">
        <f>IF($A37="","",'Employee Master'!C37)</f>
        <v/>
      </c>
      <c r="D37" s="89" t="inlineStr">
        <is>
          <t>P</t>
        </is>
      </c>
      <c r="E37" s="89" t="inlineStr">
        <is>
          <t>P</t>
        </is>
      </c>
      <c r="F37" s="89" t="inlineStr">
        <is>
          <t>P</t>
        </is>
      </c>
      <c r="G37" s="89" t="inlineStr">
        <is>
          <t>P</t>
        </is>
      </c>
      <c r="H37" s="89" t="inlineStr">
        <is>
          <t>P</t>
        </is>
      </c>
      <c r="I37" s="89" t="inlineStr">
        <is>
          <t>P</t>
        </is>
      </c>
      <c r="J37" s="89" t="inlineStr">
        <is>
          <t>P</t>
        </is>
      </c>
      <c r="K37" s="89" t="inlineStr">
        <is>
          <t>P</t>
        </is>
      </c>
      <c r="L37" s="89" t="inlineStr">
        <is>
          <t>P</t>
        </is>
      </c>
      <c r="M37" s="89" t="inlineStr">
        <is>
          <t>P</t>
        </is>
      </c>
      <c r="N37" s="89" t="inlineStr">
        <is>
          <t>P</t>
        </is>
      </c>
      <c r="O37" s="89" t="inlineStr">
        <is>
          <t>P</t>
        </is>
      </c>
      <c r="P37" s="89" t="inlineStr">
        <is>
          <t>P</t>
        </is>
      </c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8">
        <f>IF($A38="","",'Employee Master'!C38)</f>
        <v/>
      </c>
      <c r="D38" s="89" t="inlineStr">
        <is>
          <t>P</t>
        </is>
      </c>
      <c r="E38" s="89" t="inlineStr">
        <is>
          <t>P</t>
        </is>
      </c>
      <c r="F38" s="89" t="inlineStr">
        <is>
          <t>P</t>
        </is>
      </c>
      <c r="G38" s="89" t="inlineStr">
        <is>
          <t>P</t>
        </is>
      </c>
      <c r="H38" s="89" t="inlineStr">
        <is>
          <t>P</t>
        </is>
      </c>
      <c r="I38" s="89" t="inlineStr">
        <is>
          <t>P</t>
        </is>
      </c>
      <c r="J38" s="89" t="inlineStr">
        <is>
          <t>P</t>
        </is>
      </c>
      <c r="K38" s="89" t="inlineStr">
        <is>
          <t>P</t>
        </is>
      </c>
      <c r="L38" s="89" t="inlineStr">
        <is>
          <t>P</t>
        </is>
      </c>
      <c r="M38" s="89" t="inlineStr">
        <is>
          <t>P</t>
        </is>
      </c>
      <c r="N38" s="89" t="inlineStr">
        <is>
          <t>P</t>
        </is>
      </c>
      <c r="O38" s="89" t="inlineStr">
        <is>
          <t>P</t>
        </is>
      </c>
      <c r="P38" s="89" t="inlineStr">
        <is>
          <t>P</t>
        </is>
      </c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8">
        <f>IF($A39="","",'Employee Master'!C39)</f>
        <v/>
      </c>
      <c r="D39" s="89" t="inlineStr">
        <is>
          <t>UA</t>
        </is>
      </c>
      <c r="E39" s="89" t="inlineStr">
        <is>
          <t>UA</t>
        </is>
      </c>
      <c r="F39" s="89" t="inlineStr">
        <is>
          <t>UA</t>
        </is>
      </c>
      <c r="G39" s="89" t="inlineStr">
        <is>
          <t>UA</t>
        </is>
      </c>
      <c r="H39" s="89" t="inlineStr">
        <is>
          <t>UA</t>
        </is>
      </c>
      <c r="I39" s="89" t="inlineStr">
        <is>
          <t>UA</t>
        </is>
      </c>
      <c r="J39" s="89" t="inlineStr">
        <is>
          <t>UA</t>
        </is>
      </c>
      <c r="K39" s="89" t="inlineStr">
        <is>
          <t>UA</t>
        </is>
      </c>
      <c r="L39" s="89" t="inlineStr">
        <is>
          <t>UA</t>
        </is>
      </c>
      <c r="M39" s="89" t="inlineStr">
        <is>
          <t>UA</t>
        </is>
      </c>
      <c r="N39" s="89" t="inlineStr">
        <is>
          <t>UA</t>
        </is>
      </c>
      <c r="O39" s="89" t="inlineStr">
        <is>
          <t>P</t>
        </is>
      </c>
      <c r="P39" s="89" t="inlineStr">
        <is>
          <t>P</t>
        </is>
      </c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8">
        <f>IF($A40="","",'Employee Master'!C40)</f>
        <v/>
      </c>
      <c r="D40" s="89" t="inlineStr">
        <is>
          <t>UA</t>
        </is>
      </c>
      <c r="E40" s="89" t="inlineStr">
        <is>
          <t>UA</t>
        </is>
      </c>
      <c r="F40" s="89" t="inlineStr">
        <is>
          <t>UA</t>
        </is>
      </c>
      <c r="G40" s="89" t="inlineStr">
        <is>
          <t>UA</t>
        </is>
      </c>
      <c r="H40" s="89" t="inlineStr">
        <is>
          <t>UA</t>
        </is>
      </c>
      <c r="I40" s="89" t="inlineStr">
        <is>
          <t>UA</t>
        </is>
      </c>
      <c r="J40" s="89" t="inlineStr">
        <is>
          <t>UA</t>
        </is>
      </c>
      <c r="K40" s="89" t="inlineStr">
        <is>
          <t>UA</t>
        </is>
      </c>
      <c r="L40" s="89" t="inlineStr">
        <is>
          <t>UA</t>
        </is>
      </c>
      <c r="M40" s="89" t="inlineStr">
        <is>
          <t>UA</t>
        </is>
      </c>
      <c r="N40" s="89" t="inlineStr">
        <is>
          <t>UA</t>
        </is>
      </c>
      <c r="O40" s="89" t="inlineStr">
        <is>
          <t>UA</t>
        </is>
      </c>
      <c r="P40" s="89" t="inlineStr">
        <is>
          <t>UA</t>
        </is>
      </c>
      <c r="Q40" s="89" t="inlineStr">
        <is>
          <t>UA</t>
        </is>
      </c>
      <c r="R40" s="89" t="inlineStr">
        <is>
          <t>UA</t>
        </is>
      </c>
      <c r="S40" s="89" t="inlineStr">
        <is>
          <t>UA</t>
        </is>
      </c>
      <c r="T40" s="89" t="inlineStr">
        <is>
          <t>UA</t>
        </is>
      </c>
      <c r="U40" s="89" t="inlineStr">
        <is>
          <t>UA</t>
        </is>
      </c>
      <c r="V40" s="89" t="inlineStr">
        <is>
          <t>UA</t>
        </is>
      </c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8">
        <f>IF($A41="","",'Employee Master'!C41)</f>
        <v/>
      </c>
      <c r="D41" s="89" t="inlineStr">
        <is>
          <t>P</t>
        </is>
      </c>
      <c r="E41" s="89" t="inlineStr">
        <is>
          <t>P</t>
        </is>
      </c>
      <c r="F41" s="89" t="inlineStr">
        <is>
          <t>P</t>
        </is>
      </c>
      <c r="G41" s="89" t="inlineStr">
        <is>
          <t>P</t>
        </is>
      </c>
      <c r="H41" s="89" t="inlineStr">
        <is>
          <t>P</t>
        </is>
      </c>
      <c r="I41" s="89" t="inlineStr">
        <is>
          <t>P</t>
        </is>
      </c>
      <c r="J41" s="89" t="inlineStr">
        <is>
          <t>P</t>
        </is>
      </c>
      <c r="K41" s="89" t="inlineStr">
        <is>
          <t>P</t>
        </is>
      </c>
      <c r="L41" s="89" t="inlineStr">
        <is>
          <t>P</t>
        </is>
      </c>
      <c r="M41" s="89" t="inlineStr">
        <is>
          <t>P</t>
        </is>
      </c>
      <c r="N41" s="89" t="inlineStr">
        <is>
          <t>P</t>
        </is>
      </c>
      <c r="O41" s="89" t="inlineStr">
        <is>
          <t>P</t>
        </is>
      </c>
      <c r="P41" s="89" t="inlineStr">
        <is>
          <t>P</t>
        </is>
      </c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inlineStr">
        <is>
          <t>UA</t>
        </is>
      </c>
      <c r="AA41" s="89" t="inlineStr">
        <is>
          <t>UA</t>
        </is>
      </c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8">
        <f>IF($A42="","",'Employee Master'!C42)</f>
        <v/>
      </c>
      <c r="D42" s="89" t="inlineStr">
        <is>
          <t>P</t>
        </is>
      </c>
      <c r="E42" s="89" t="inlineStr">
        <is>
          <t>P</t>
        </is>
      </c>
      <c r="F42" s="89" t="inlineStr">
        <is>
          <t>P</t>
        </is>
      </c>
      <c r="G42" s="89" t="inlineStr">
        <is>
          <t>P</t>
        </is>
      </c>
      <c r="H42" s="89" t="inlineStr">
        <is>
          <t>P</t>
        </is>
      </c>
      <c r="I42" s="89" t="inlineStr">
        <is>
          <t>P</t>
        </is>
      </c>
      <c r="J42" s="89" t="inlineStr">
        <is>
          <t>P</t>
        </is>
      </c>
      <c r="K42" s="89" t="inlineStr">
        <is>
          <t>P</t>
        </is>
      </c>
      <c r="L42" s="89" t="inlineStr">
        <is>
          <t>P</t>
        </is>
      </c>
      <c r="M42" s="89" t="inlineStr">
        <is>
          <t>P</t>
        </is>
      </c>
      <c r="N42" s="89" t="inlineStr">
        <is>
          <t>P</t>
        </is>
      </c>
      <c r="O42" s="89" t="inlineStr">
        <is>
          <t>P</t>
        </is>
      </c>
      <c r="P42" s="89" t="inlineStr">
        <is>
          <t>P</t>
        </is>
      </c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8">
        <f>IF($A43="","",'Employee Master'!C43)</f>
        <v/>
      </c>
      <c r="D43" s="89" t="inlineStr">
        <is>
          <t>P</t>
        </is>
      </c>
      <c r="E43" s="89" t="inlineStr">
        <is>
          <t>P</t>
        </is>
      </c>
      <c r="F43" s="89" t="inlineStr">
        <is>
          <t>P</t>
        </is>
      </c>
      <c r="G43" s="89" t="inlineStr">
        <is>
          <t>P</t>
        </is>
      </c>
      <c r="H43" s="89" t="inlineStr">
        <is>
          <t>P</t>
        </is>
      </c>
      <c r="I43" s="89" t="inlineStr">
        <is>
          <t>P</t>
        </is>
      </c>
      <c r="J43" s="89" t="inlineStr">
        <is>
          <t>P</t>
        </is>
      </c>
      <c r="K43" s="89" t="inlineStr">
        <is>
          <t>P</t>
        </is>
      </c>
      <c r="L43" s="89" t="inlineStr">
        <is>
          <t>P</t>
        </is>
      </c>
      <c r="M43" s="89" t="inlineStr">
        <is>
          <t>P</t>
        </is>
      </c>
      <c r="N43" s="89" t="inlineStr">
        <is>
          <t>P</t>
        </is>
      </c>
      <c r="O43" s="89" t="inlineStr">
        <is>
          <t>P</t>
        </is>
      </c>
      <c r="P43" s="89" t="inlineStr">
        <is>
          <t>P</t>
        </is>
      </c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89" t="n"/>
      <c r="AE43" s="89" t="n"/>
      <c r="AF43" s="89" t="n"/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8">
        <f>IF($A44="","",'Employee Master'!C44)</f>
        <v/>
      </c>
      <c r="D44" s="89" t="inlineStr">
        <is>
          <t>P</t>
        </is>
      </c>
      <c r="E44" s="89" t="inlineStr">
        <is>
          <t>P</t>
        </is>
      </c>
      <c r="F44" s="89" t="inlineStr">
        <is>
          <t>P</t>
        </is>
      </c>
      <c r="G44" s="89" t="inlineStr">
        <is>
          <t>P</t>
        </is>
      </c>
      <c r="H44" s="89" t="inlineStr">
        <is>
          <t>P</t>
        </is>
      </c>
      <c r="I44" s="89" t="inlineStr">
        <is>
          <t>P</t>
        </is>
      </c>
      <c r="J44" s="89" t="inlineStr">
        <is>
          <t>P</t>
        </is>
      </c>
      <c r="K44" s="89" t="inlineStr">
        <is>
          <t>P</t>
        </is>
      </c>
      <c r="L44" s="89" t="inlineStr">
        <is>
          <t>P</t>
        </is>
      </c>
      <c r="M44" s="89" t="inlineStr">
        <is>
          <t>P</t>
        </is>
      </c>
      <c r="N44" s="89" t="inlineStr">
        <is>
          <t>P</t>
        </is>
      </c>
      <c r="O44" s="89" t="inlineStr">
        <is>
          <t>P</t>
        </is>
      </c>
      <c r="P44" s="89" t="inlineStr">
        <is>
          <t>P</t>
        </is>
      </c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8">
        <f>IF($A45="","",'Employee Master'!C45)</f>
        <v/>
      </c>
      <c r="D45" s="89" t="inlineStr">
        <is>
          <t>P</t>
        </is>
      </c>
      <c r="E45" s="89" t="inlineStr">
        <is>
          <t>P</t>
        </is>
      </c>
      <c r="F45" s="89" t="inlineStr">
        <is>
          <t>P</t>
        </is>
      </c>
      <c r="G45" s="89" t="inlineStr">
        <is>
          <t>P</t>
        </is>
      </c>
      <c r="H45" s="89" t="inlineStr">
        <is>
          <t>P</t>
        </is>
      </c>
      <c r="I45" s="89" t="inlineStr">
        <is>
          <t>P</t>
        </is>
      </c>
      <c r="J45" s="89" t="inlineStr">
        <is>
          <t>P</t>
        </is>
      </c>
      <c r="K45" s="89" t="inlineStr">
        <is>
          <t>P</t>
        </is>
      </c>
      <c r="L45" s="89" t="inlineStr">
        <is>
          <t>P</t>
        </is>
      </c>
      <c r="M45" s="89" t="inlineStr">
        <is>
          <t>P</t>
        </is>
      </c>
      <c r="N45" s="89" t="inlineStr">
        <is>
          <t>P</t>
        </is>
      </c>
      <c r="O45" s="89" t="inlineStr">
        <is>
          <t>P</t>
        </is>
      </c>
      <c r="P45" s="89" t="inlineStr">
        <is>
          <t>P</t>
        </is>
      </c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8">
        <f>IF($A46="","",'Employee Master'!C46)</f>
        <v/>
      </c>
      <c r="D46" s="89" t="inlineStr">
        <is>
          <t>P</t>
        </is>
      </c>
      <c r="E46" s="89" t="inlineStr">
        <is>
          <t>P</t>
        </is>
      </c>
      <c r="F46" s="89" t="inlineStr">
        <is>
          <t>P</t>
        </is>
      </c>
      <c r="G46" s="89" t="inlineStr">
        <is>
          <t>P</t>
        </is>
      </c>
      <c r="H46" s="89" t="inlineStr">
        <is>
          <t>P</t>
        </is>
      </c>
      <c r="I46" s="89" t="inlineStr">
        <is>
          <t>P</t>
        </is>
      </c>
      <c r="J46" s="89" t="inlineStr">
        <is>
          <t>P</t>
        </is>
      </c>
      <c r="K46" s="89" t="inlineStr">
        <is>
          <t>P</t>
        </is>
      </c>
      <c r="L46" s="89" t="inlineStr">
        <is>
          <t>P</t>
        </is>
      </c>
      <c r="M46" s="89" t="inlineStr">
        <is>
          <t>P</t>
        </is>
      </c>
      <c r="N46" s="89" t="inlineStr">
        <is>
          <t>P</t>
        </is>
      </c>
      <c r="O46" s="89" t="inlineStr">
        <is>
          <t>P</t>
        </is>
      </c>
      <c r="P46" s="89" t="inlineStr">
        <is>
          <t>P</t>
        </is>
      </c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8">
        <f>IF($A47="","",'Employee Master'!C47)</f>
        <v/>
      </c>
      <c r="D47" s="89" t="inlineStr">
        <is>
          <t>UA</t>
        </is>
      </c>
      <c r="E47" s="89" t="inlineStr">
        <is>
          <t>UA</t>
        </is>
      </c>
      <c r="F47" s="89" t="inlineStr">
        <is>
          <t>UA</t>
        </is>
      </c>
      <c r="G47" s="89" t="inlineStr">
        <is>
          <t>UA</t>
        </is>
      </c>
      <c r="H47" s="89" t="inlineStr">
        <is>
          <t>UA</t>
        </is>
      </c>
      <c r="I47" s="89" t="inlineStr">
        <is>
          <t>UA</t>
        </is>
      </c>
      <c r="J47" s="89" t="inlineStr">
        <is>
          <t>UA</t>
        </is>
      </c>
      <c r="K47" s="89" t="inlineStr">
        <is>
          <t>UA</t>
        </is>
      </c>
      <c r="L47" s="89" t="inlineStr">
        <is>
          <t>UA</t>
        </is>
      </c>
      <c r="M47" s="89" t="inlineStr">
        <is>
          <t>UA</t>
        </is>
      </c>
      <c r="N47" s="89" t="inlineStr">
        <is>
          <t>UA</t>
        </is>
      </c>
      <c r="O47" s="89" t="inlineStr">
        <is>
          <t>UA</t>
        </is>
      </c>
      <c r="P47" s="89" t="inlineStr">
        <is>
          <t>UA</t>
        </is>
      </c>
      <c r="Q47" s="89" t="inlineStr">
        <is>
          <t>UA</t>
        </is>
      </c>
      <c r="R47" s="89" t="inlineStr">
        <is>
          <t>UA</t>
        </is>
      </c>
      <c r="S47" s="89" t="inlineStr">
        <is>
          <t>UA</t>
        </is>
      </c>
      <c r="T47" s="89" t="inlineStr">
        <is>
          <t>UA</t>
        </is>
      </c>
      <c r="U47" s="89" t="inlineStr">
        <is>
          <t>UA</t>
        </is>
      </c>
      <c r="V47" s="89" t="inlineStr">
        <is>
          <t>UA</t>
        </is>
      </c>
      <c r="W47" s="89" t="inlineStr">
        <is>
          <t>UA</t>
        </is>
      </c>
      <c r="X47" s="89" t="inlineStr">
        <is>
          <t>UA</t>
        </is>
      </c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inlineStr">
        <is>
          <t>Working 2 days/week — update P days manually</t>
        </is>
      </c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8">
        <f>IF($A48="","",'Employee Master'!C48)</f>
        <v/>
      </c>
      <c r="D48" s="89" t="inlineStr">
        <is>
          <t>P</t>
        </is>
      </c>
      <c r="E48" s="89" t="inlineStr">
        <is>
          <t>P</t>
        </is>
      </c>
      <c r="F48" s="89" t="inlineStr">
        <is>
          <t>P</t>
        </is>
      </c>
      <c r="G48" s="89" t="inlineStr">
        <is>
          <t>P</t>
        </is>
      </c>
      <c r="H48" s="89" t="inlineStr">
        <is>
          <t>P</t>
        </is>
      </c>
      <c r="I48" s="89" t="inlineStr">
        <is>
          <t>P</t>
        </is>
      </c>
      <c r="J48" s="89" t="inlineStr">
        <is>
          <t>P</t>
        </is>
      </c>
      <c r="K48" s="89" t="inlineStr">
        <is>
          <t>P</t>
        </is>
      </c>
      <c r="L48" s="89" t="inlineStr">
        <is>
          <t>P</t>
        </is>
      </c>
      <c r="M48" s="89" t="inlineStr">
        <is>
          <t>P</t>
        </is>
      </c>
      <c r="N48" s="89" t="inlineStr">
        <is>
          <t>P</t>
        </is>
      </c>
      <c r="O48" s="89" t="inlineStr">
        <is>
          <t>P</t>
        </is>
      </c>
      <c r="P48" s="89" t="inlineStr">
        <is>
          <t>P</t>
        </is>
      </c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8">
        <f>IF($A49="","",'Employee Master'!C49)</f>
        <v/>
      </c>
      <c r="D49" s="89" t="inlineStr">
        <is>
          <t>P</t>
        </is>
      </c>
      <c r="E49" s="89" t="inlineStr">
        <is>
          <t>P</t>
        </is>
      </c>
      <c r="F49" s="89" t="inlineStr">
        <is>
          <t>P</t>
        </is>
      </c>
      <c r="G49" s="89" t="inlineStr">
        <is>
          <t>P</t>
        </is>
      </c>
      <c r="H49" s="89" t="inlineStr">
        <is>
          <t>P</t>
        </is>
      </c>
      <c r="I49" s="89" t="inlineStr">
        <is>
          <t>P</t>
        </is>
      </c>
      <c r="J49" s="89" t="inlineStr">
        <is>
          <t>P</t>
        </is>
      </c>
      <c r="K49" s="89" t="inlineStr">
        <is>
          <t>P</t>
        </is>
      </c>
      <c r="L49" s="89" t="inlineStr">
        <is>
          <t>P</t>
        </is>
      </c>
      <c r="M49" s="89" t="inlineStr">
        <is>
          <t>P</t>
        </is>
      </c>
      <c r="N49" s="89" t="inlineStr">
        <is>
          <t>P</t>
        </is>
      </c>
      <c r="O49" s="89" t="inlineStr">
        <is>
          <t>P</t>
        </is>
      </c>
      <c r="P49" s="89" t="inlineStr">
        <is>
          <t>P</t>
        </is>
      </c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8">
        <f>IF($A50="","",'Employee Master'!C50)</f>
        <v/>
      </c>
      <c r="D50" s="89" t="inlineStr">
        <is>
          <t>P</t>
        </is>
      </c>
      <c r="E50" s="89" t="inlineStr">
        <is>
          <t>P</t>
        </is>
      </c>
      <c r="F50" s="89" t="inlineStr">
        <is>
          <t>P</t>
        </is>
      </c>
      <c r="G50" s="89" t="inlineStr">
        <is>
          <t>P</t>
        </is>
      </c>
      <c r="H50" s="89" t="inlineStr">
        <is>
          <t>P</t>
        </is>
      </c>
      <c r="I50" s="89" t="inlineStr">
        <is>
          <t>P</t>
        </is>
      </c>
      <c r="J50" s="89" t="inlineStr">
        <is>
          <t>P</t>
        </is>
      </c>
      <c r="K50" s="89" t="inlineStr">
        <is>
          <t>P</t>
        </is>
      </c>
      <c r="L50" s="89" t="inlineStr">
        <is>
          <t>P</t>
        </is>
      </c>
      <c r="M50" s="89" t="inlineStr">
        <is>
          <t>P</t>
        </is>
      </c>
      <c r="N50" s="89" t="inlineStr">
        <is>
          <t>P</t>
        </is>
      </c>
      <c r="O50" s="89" t="inlineStr">
        <is>
          <t>P</t>
        </is>
      </c>
      <c r="P50" s="89" t="inlineStr">
        <is>
          <t>P</t>
        </is>
      </c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8">
        <f>IF($A51="","",'Employee Master'!C51)</f>
        <v/>
      </c>
      <c r="D51" s="89" t="inlineStr">
        <is>
          <t>P</t>
        </is>
      </c>
      <c r="E51" s="89" t="inlineStr">
        <is>
          <t>P</t>
        </is>
      </c>
      <c r="F51" s="89" t="inlineStr">
        <is>
          <t>P</t>
        </is>
      </c>
      <c r="G51" s="89" t="inlineStr">
        <is>
          <t>P</t>
        </is>
      </c>
      <c r="H51" s="89" t="inlineStr">
        <is>
          <t>P</t>
        </is>
      </c>
      <c r="I51" s="89" t="inlineStr">
        <is>
          <t>P</t>
        </is>
      </c>
      <c r="J51" s="89" t="inlineStr">
        <is>
          <t>P</t>
        </is>
      </c>
      <c r="K51" s="89" t="inlineStr">
        <is>
          <t>P</t>
        </is>
      </c>
      <c r="L51" s="89" t="inlineStr">
        <is>
          <t>P</t>
        </is>
      </c>
      <c r="M51" s="89" t="inlineStr">
        <is>
          <t>P</t>
        </is>
      </c>
      <c r="N51" s="89" t="inlineStr">
        <is>
          <t>P</t>
        </is>
      </c>
      <c r="O51" s="89" t="inlineStr">
        <is>
          <t>P</t>
        </is>
      </c>
      <c r="P51" s="89" t="inlineStr">
        <is>
          <t>P</t>
        </is>
      </c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8">
        <f>IF($A52="","",'Employee Master'!C52)</f>
        <v/>
      </c>
      <c r="D52" s="89" t="inlineStr">
        <is>
          <t>P</t>
        </is>
      </c>
      <c r="E52" s="89" t="inlineStr">
        <is>
          <t>P</t>
        </is>
      </c>
      <c r="F52" s="89" t="inlineStr">
        <is>
          <t>P</t>
        </is>
      </c>
      <c r="G52" s="89" t="inlineStr">
        <is>
          <t>P</t>
        </is>
      </c>
      <c r="H52" s="89" t="inlineStr">
        <is>
          <t>P</t>
        </is>
      </c>
      <c r="I52" s="89" t="inlineStr">
        <is>
          <t>P</t>
        </is>
      </c>
      <c r="J52" s="89" t="inlineStr">
        <is>
          <t>P</t>
        </is>
      </c>
      <c r="K52" s="89" t="inlineStr">
        <is>
          <t>P</t>
        </is>
      </c>
      <c r="L52" s="89" t="inlineStr">
        <is>
          <t>P</t>
        </is>
      </c>
      <c r="M52" s="89" t="inlineStr">
        <is>
          <t>P</t>
        </is>
      </c>
      <c r="N52" s="89" t="inlineStr">
        <is>
          <t>P</t>
        </is>
      </c>
      <c r="O52" s="89" t="inlineStr">
        <is>
          <t>P</t>
        </is>
      </c>
      <c r="P52" s="89" t="inlineStr">
        <is>
          <t>P</t>
        </is>
      </c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8">
        <f>IF($A53="","",'Employee Master'!C53)</f>
        <v/>
      </c>
      <c r="D53" s="89" t="inlineStr">
        <is>
          <t>P</t>
        </is>
      </c>
      <c r="E53" s="89" t="inlineStr">
        <is>
          <t>P</t>
        </is>
      </c>
      <c r="F53" s="89" t="inlineStr">
        <is>
          <t>P</t>
        </is>
      </c>
      <c r="G53" s="89" t="inlineStr">
        <is>
          <t>P</t>
        </is>
      </c>
      <c r="H53" s="89" t="inlineStr">
        <is>
          <t>P</t>
        </is>
      </c>
      <c r="I53" s="89" t="inlineStr">
        <is>
          <t>P</t>
        </is>
      </c>
      <c r="J53" s="89" t="inlineStr">
        <is>
          <t>P</t>
        </is>
      </c>
      <c r="K53" s="89" t="inlineStr">
        <is>
          <t>P</t>
        </is>
      </c>
      <c r="L53" s="89" t="inlineStr">
        <is>
          <t>P</t>
        </is>
      </c>
      <c r="M53" s="89" t="inlineStr">
        <is>
          <t>P</t>
        </is>
      </c>
      <c r="N53" s="89" t="inlineStr">
        <is>
          <t>P</t>
        </is>
      </c>
      <c r="O53" s="89" t="inlineStr">
        <is>
          <t>P</t>
        </is>
      </c>
      <c r="P53" s="89" t="inlineStr">
        <is>
          <t>P</t>
        </is>
      </c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8">
        <f>IF($A54="","",'Employee Master'!C54)</f>
        <v/>
      </c>
      <c r="D54" s="89" t="inlineStr">
        <is>
          <t>P</t>
        </is>
      </c>
      <c r="E54" s="89" t="inlineStr">
        <is>
          <t>P</t>
        </is>
      </c>
      <c r="F54" s="89" t="inlineStr">
        <is>
          <t>P</t>
        </is>
      </c>
      <c r="G54" s="89" t="inlineStr">
        <is>
          <t>P</t>
        </is>
      </c>
      <c r="H54" s="89" t="inlineStr">
        <is>
          <t>P</t>
        </is>
      </c>
      <c r="I54" s="89" t="inlineStr">
        <is>
          <t>P</t>
        </is>
      </c>
      <c r="J54" s="89" t="inlineStr">
        <is>
          <t>P</t>
        </is>
      </c>
      <c r="K54" s="89" t="inlineStr">
        <is>
          <t>P</t>
        </is>
      </c>
      <c r="L54" s="89" t="inlineStr">
        <is>
          <t>P</t>
        </is>
      </c>
      <c r="M54" s="89" t="inlineStr">
        <is>
          <t>P</t>
        </is>
      </c>
      <c r="N54" s="89" t="inlineStr">
        <is>
          <t>P</t>
        </is>
      </c>
      <c r="O54" s="89" t="inlineStr">
        <is>
          <t>P</t>
        </is>
      </c>
      <c r="P54" s="89" t="inlineStr">
        <is>
          <t>P</t>
        </is>
      </c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8">
        <f>IF($A55="","",'Employee Master'!C55)</f>
        <v/>
      </c>
      <c r="D55" s="89" t="inlineStr">
        <is>
          <t>P</t>
        </is>
      </c>
      <c r="E55" s="89" t="inlineStr">
        <is>
          <t>P</t>
        </is>
      </c>
      <c r="F55" s="89" t="inlineStr">
        <is>
          <t>P</t>
        </is>
      </c>
      <c r="G55" s="89" t="inlineStr">
        <is>
          <t>P</t>
        </is>
      </c>
      <c r="H55" s="89" t="inlineStr">
        <is>
          <t>P</t>
        </is>
      </c>
      <c r="I55" s="89" t="inlineStr">
        <is>
          <t>P</t>
        </is>
      </c>
      <c r="J55" s="89" t="inlineStr">
        <is>
          <t>P</t>
        </is>
      </c>
      <c r="K55" s="89" t="inlineStr">
        <is>
          <t>P</t>
        </is>
      </c>
      <c r="L55" s="89" t="inlineStr">
        <is>
          <t>P</t>
        </is>
      </c>
      <c r="M55" s="89" t="inlineStr">
        <is>
          <t>P</t>
        </is>
      </c>
      <c r="N55" s="89" t="inlineStr">
        <is>
          <t>P</t>
        </is>
      </c>
      <c r="O55" s="89" t="inlineStr">
        <is>
          <t>P</t>
        </is>
      </c>
      <c r="P55" s="89" t="inlineStr">
        <is>
          <t>P</t>
        </is>
      </c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8">
        <f>IF($A56="","",'Employee Master'!C56)</f>
        <v/>
      </c>
      <c r="D56" s="89" t="inlineStr">
        <is>
          <t>P</t>
        </is>
      </c>
      <c r="E56" s="89" t="inlineStr">
        <is>
          <t>P</t>
        </is>
      </c>
      <c r="F56" s="89" t="inlineStr">
        <is>
          <t>P</t>
        </is>
      </c>
      <c r="G56" s="89" t="inlineStr">
        <is>
          <t>P</t>
        </is>
      </c>
      <c r="H56" s="89" t="inlineStr">
        <is>
          <t>P</t>
        </is>
      </c>
      <c r="I56" s="89" t="inlineStr">
        <is>
          <t>P</t>
        </is>
      </c>
      <c r="J56" s="89" t="inlineStr">
        <is>
          <t>P</t>
        </is>
      </c>
      <c r="K56" s="89" t="inlineStr">
        <is>
          <t>P</t>
        </is>
      </c>
      <c r="L56" s="89" t="inlineStr">
        <is>
          <t>P</t>
        </is>
      </c>
      <c r="M56" s="89" t="inlineStr">
        <is>
          <t>P</t>
        </is>
      </c>
      <c r="N56" s="89" t="inlineStr">
        <is>
          <t>P</t>
        </is>
      </c>
      <c r="O56" s="89" t="inlineStr">
        <is>
          <t>P</t>
        </is>
      </c>
      <c r="P56" s="89" t="inlineStr">
        <is>
          <t>P</t>
        </is>
      </c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8">
        <f>IF($A57="","",'Employee Master'!C57)</f>
        <v/>
      </c>
      <c r="D57" s="89" t="inlineStr">
        <is>
          <t>P</t>
        </is>
      </c>
      <c r="E57" s="89" t="inlineStr">
        <is>
          <t>P</t>
        </is>
      </c>
      <c r="F57" s="89" t="inlineStr">
        <is>
          <t>P</t>
        </is>
      </c>
      <c r="G57" s="89" t="inlineStr">
        <is>
          <t>P</t>
        </is>
      </c>
      <c r="H57" s="89" t="inlineStr">
        <is>
          <t>P</t>
        </is>
      </c>
      <c r="I57" s="89" t="inlineStr">
        <is>
          <t>P</t>
        </is>
      </c>
      <c r="J57" s="89" t="inlineStr">
        <is>
          <t>P</t>
        </is>
      </c>
      <c r="K57" s="89" t="inlineStr">
        <is>
          <t>P</t>
        </is>
      </c>
      <c r="L57" s="89" t="inlineStr">
        <is>
          <t>P</t>
        </is>
      </c>
      <c r="M57" s="89" t="inlineStr">
        <is>
          <t>P</t>
        </is>
      </c>
      <c r="N57" s="89" t="inlineStr">
        <is>
          <t>P</t>
        </is>
      </c>
      <c r="O57" s="89" t="inlineStr">
        <is>
          <t>P</t>
        </is>
      </c>
      <c r="P57" s="89" t="inlineStr">
        <is>
          <t>P</t>
        </is>
      </c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8">
        <f>IF($A58="","",'Employee Master'!C58)</f>
        <v/>
      </c>
      <c r="D58" s="89" t="inlineStr">
        <is>
          <t>P</t>
        </is>
      </c>
      <c r="E58" s="89" t="inlineStr">
        <is>
          <t>P</t>
        </is>
      </c>
      <c r="F58" s="89" t="inlineStr">
        <is>
          <t>P</t>
        </is>
      </c>
      <c r="G58" s="89" t="inlineStr">
        <is>
          <t>P</t>
        </is>
      </c>
      <c r="H58" s="89" t="inlineStr">
        <is>
          <t>P</t>
        </is>
      </c>
      <c r="I58" s="89" t="inlineStr">
        <is>
          <t>P</t>
        </is>
      </c>
      <c r="J58" s="89" t="inlineStr">
        <is>
          <t>P</t>
        </is>
      </c>
      <c r="K58" s="89" t="inlineStr">
        <is>
          <t>P</t>
        </is>
      </c>
      <c r="L58" s="89" t="inlineStr">
        <is>
          <t>P</t>
        </is>
      </c>
      <c r="M58" s="89" t="inlineStr">
        <is>
          <t>P</t>
        </is>
      </c>
      <c r="N58" s="89" t="inlineStr">
        <is>
          <t>P</t>
        </is>
      </c>
      <c r="O58" s="89" t="inlineStr">
        <is>
          <t>P</t>
        </is>
      </c>
      <c r="P58" s="89" t="inlineStr">
        <is>
          <t>P</t>
        </is>
      </c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8">
        <f>IF($A59="","",'Employee Master'!C59)</f>
        <v/>
      </c>
      <c r="D59" s="89" t="inlineStr">
        <is>
          <t>UA</t>
        </is>
      </c>
      <c r="E59" s="89" t="inlineStr">
        <is>
          <t>UA</t>
        </is>
      </c>
      <c r="F59" s="89" t="inlineStr">
        <is>
          <t>UA</t>
        </is>
      </c>
      <c r="G59" s="89" t="inlineStr">
        <is>
          <t>UA</t>
        </is>
      </c>
      <c r="H59" s="89" t="inlineStr">
        <is>
          <t>UA</t>
        </is>
      </c>
      <c r="I59" s="89" t="inlineStr">
        <is>
          <t>P</t>
        </is>
      </c>
      <c r="J59" s="89" t="inlineStr">
        <is>
          <t>P</t>
        </is>
      </c>
      <c r="K59" s="89" t="inlineStr">
        <is>
          <t>P</t>
        </is>
      </c>
      <c r="L59" s="89" t="inlineStr">
        <is>
          <t>P</t>
        </is>
      </c>
      <c r="M59" s="89" t="inlineStr">
        <is>
          <t>P</t>
        </is>
      </c>
      <c r="N59" s="89" t="inlineStr">
        <is>
          <t>P</t>
        </is>
      </c>
      <c r="O59" s="89" t="inlineStr">
        <is>
          <t>P</t>
        </is>
      </c>
      <c r="P59" s="89" t="inlineStr">
        <is>
          <t>P</t>
        </is>
      </c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8">
        <f>IF($A60="","",'Employee Master'!C60)</f>
        <v/>
      </c>
      <c r="D60" s="89" t="inlineStr">
        <is>
          <t>UA</t>
        </is>
      </c>
      <c r="E60" s="89" t="inlineStr">
        <is>
          <t>UA</t>
        </is>
      </c>
      <c r="F60" s="89" t="inlineStr">
        <is>
          <t>UA</t>
        </is>
      </c>
      <c r="G60" s="89" t="inlineStr">
        <is>
          <t>UA</t>
        </is>
      </c>
      <c r="H60" s="89" t="inlineStr">
        <is>
          <t>UA</t>
        </is>
      </c>
      <c r="I60" s="89" t="inlineStr">
        <is>
          <t>P</t>
        </is>
      </c>
      <c r="J60" s="89" t="inlineStr">
        <is>
          <t>P</t>
        </is>
      </c>
      <c r="K60" s="89" t="inlineStr">
        <is>
          <t>P</t>
        </is>
      </c>
      <c r="L60" s="89" t="inlineStr">
        <is>
          <t>P</t>
        </is>
      </c>
      <c r="M60" s="89" t="inlineStr">
        <is>
          <t>P</t>
        </is>
      </c>
      <c r="N60" s="89" t="inlineStr">
        <is>
          <t>P</t>
        </is>
      </c>
      <c r="O60" s="89" t="inlineStr">
        <is>
          <t>P</t>
        </is>
      </c>
      <c r="P60" s="89" t="inlineStr">
        <is>
          <t>P</t>
        </is>
      </c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8">
        <f>IF($A61="","",'Employee Master'!C61)</f>
        <v/>
      </c>
      <c r="D61" s="89" t="inlineStr">
        <is>
          <t>UA</t>
        </is>
      </c>
      <c r="E61" s="89" t="inlineStr">
        <is>
          <t>UA</t>
        </is>
      </c>
      <c r="F61" s="89" t="inlineStr">
        <is>
          <t>UA</t>
        </is>
      </c>
      <c r="G61" s="89" t="inlineStr">
        <is>
          <t>UA</t>
        </is>
      </c>
      <c r="H61" s="89" t="inlineStr">
        <is>
          <t>UA</t>
        </is>
      </c>
      <c r="I61" s="89" t="inlineStr">
        <is>
          <t>UA</t>
        </is>
      </c>
      <c r="J61" s="89" t="inlineStr">
        <is>
          <t>UA</t>
        </is>
      </c>
      <c r="K61" s="89" t="inlineStr">
        <is>
          <t>UA</t>
        </is>
      </c>
      <c r="L61" s="89" t="inlineStr">
        <is>
          <t>UA</t>
        </is>
      </c>
      <c r="M61" s="89" t="inlineStr">
        <is>
          <t>UA</t>
        </is>
      </c>
      <c r="N61" s="89" t="inlineStr">
        <is>
          <t>UA</t>
        </is>
      </c>
      <c r="O61" s="89" t="inlineStr">
        <is>
          <t>UA</t>
        </is>
      </c>
      <c r="P61" s="89" t="inlineStr">
        <is>
          <t>UA</t>
        </is>
      </c>
      <c r="Q61" s="89" t="inlineStr">
        <is>
          <t>UA</t>
        </is>
      </c>
      <c r="R61" s="89" t="inlineStr">
        <is>
          <t>UA</t>
        </is>
      </c>
      <c r="S61" s="89" t="inlineStr">
        <is>
          <t>UA</t>
        </is>
      </c>
      <c r="T61" s="89" t="inlineStr">
        <is>
          <t>UA</t>
        </is>
      </c>
      <c r="U61" s="89" t="inlineStr">
        <is>
          <t>UA</t>
        </is>
      </c>
      <c r="V61" s="89" t="inlineStr">
        <is>
          <t>UA</t>
        </is>
      </c>
      <c r="W61" s="89" t="inlineStr">
        <is>
          <t>UA</t>
        </is>
      </c>
      <c r="X61" s="89" t="inlineStr">
        <is>
          <t>UA</t>
        </is>
      </c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8">
        <f>IF($A62="","",'Employee Master'!C62)</f>
        <v/>
      </c>
      <c r="D62" s="89" t="inlineStr">
        <is>
          <t>P</t>
        </is>
      </c>
      <c r="E62" s="89" t="inlineStr">
        <is>
          <t>P</t>
        </is>
      </c>
      <c r="F62" s="89" t="inlineStr">
        <is>
          <t>P</t>
        </is>
      </c>
      <c r="G62" s="89" t="inlineStr">
        <is>
          <t>P</t>
        </is>
      </c>
      <c r="H62" s="89" t="inlineStr">
        <is>
          <t>P</t>
        </is>
      </c>
      <c r="I62" s="89" t="inlineStr">
        <is>
          <t>P</t>
        </is>
      </c>
      <c r="J62" s="89" t="inlineStr">
        <is>
          <t>P</t>
        </is>
      </c>
      <c r="K62" s="89" t="inlineStr">
        <is>
          <t>P</t>
        </is>
      </c>
      <c r="L62" s="89" t="inlineStr">
        <is>
          <t>P</t>
        </is>
      </c>
      <c r="M62" s="89" t="inlineStr">
        <is>
          <t>P</t>
        </is>
      </c>
      <c r="N62" s="89" t="inlineStr">
        <is>
          <t>P</t>
        </is>
      </c>
      <c r="O62" s="89" t="inlineStr">
        <is>
          <t>P</t>
        </is>
      </c>
      <c r="P62" s="89" t="inlineStr">
        <is>
          <t>P</t>
        </is>
      </c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8">
        <f>IF($A63="","",'Employee Master'!C63)</f>
        <v/>
      </c>
      <c r="D63" s="89" t="inlineStr">
        <is>
          <t>P</t>
        </is>
      </c>
      <c r="E63" s="89" t="inlineStr">
        <is>
          <t>P</t>
        </is>
      </c>
      <c r="F63" s="89" t="inlineStr">
        <is>
          <t>P</t>
        </is>
      </c>
      <c r="G63" s="89" t="inlineStr">
        <is>
          <t>P</t>
        </is>
      </c>
      <c r="H63" s="89" t="inlineStr">
        <is>
          <t>P</t>
        </is>
      </c>
      <c r="I63" s="89" t="inlineStr">
        <is>
          <t>P</t>
        </is>
      </c>
      <c r="J63" s="89" t="inlineStr">
        <is>
          <t>P</t>
        </is>
      </c>
      <c r="K63" s="89" t="inlineStr">
        <is>
          <t>P</t>
        </is>
      </c>
      <c r="L63" s="89" t="inlineStr">
        <is>
          <t>P</t>
        </is>
      </c>
      <c r="M63" s="89" t="inlineStr">
        <is>
          <t>P</t>
        </is>
      </c>
      <c r="N63" s="89" t="inlineStr">
        <is>
          <t>P</t>
        </is>
      </c>
      <c r="O63" s="89" t="inlineStr">
        <is>
          <t>P</t>
        </is>
      </c>
      <c r="P63" s="89" t="inlineStr">
        <is>
          <t>P</t>
        </is>
      </c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8">
        <f>IF($A64="","",'Employee Master'!C64)</f>
        <v/>
      </c>
      <c r="D64" s="89" t="inlineStr">
        <is>
          <t>P</t>
        </is>
      </c>
      <c r="E64" s="89" t="inlineStr">
        <is>
          <t>P</t>
        </is>
      </c>
      <c r="F64" s="89" t="inlineStr">
        <is>
          <t>P</t>
        </is>
      </c>
      <c r="G64" s="89" t="inlineStr">
        <is>
          <t>P</t>
        </is>
      </c>
      <c r="H64" s="89" t="inlineStr">
        <is>
          <t>P</t>
        </is>
      </c>
      <c r="I64" s="89" t="inlineStr">
        <is>
          <t>P</t>
        </is>
      </c>
      <c r="J64" s="89" t="inlineStr">
        <is>
          <t>P</t>
        </is>
      </c>
      <c r="K64" s="89" t="inlineStr">
        <is>
          <t>P</t>
        </is>
      </c>
      <c r="L64" s="89" t="inlineStr">
        <is>
          <t>P</t>
        </is>
      </c>
      <c r="M64" s="89" t="inlineStr">
        <is>
          <t>P</t>
        </is>
      </c>
      <c r="N64" s="89" t="inlineStr">
        <is>
          <t>P</t>
        </is>
      </c>
      <c r="O64" s="89" t="inlineStr">
        <is>
          <t>P</t>
        </is>
      </c>
      <c r="P64" s="89" t="inlineStr">
        <is>
          <t>P</t>
        </is>
      </c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8">
        <f>IF($A65="","",'Employee Master'!C65)</f>
        <v/>
      </c>
      <c r="D65" s="89" t="inlineStr">
        <is>
          <t>P</t>
        </is>
      </c>
      <c r="E65" s="89" t="inlineStr">
        <is>
          <t>P</t>
        </is>
      </c>
      <c r="F65" s="89" t="inlineStr">
        <is>
          <t>P</t>
        </is>
      </c>
      <c r="G65" s="89" t="inlineStr">
        <is>
          <t>P</t>
        </is>
      </c>
      <c r="H65" s="89" t="inlineStr">
        <is>
          <t>P</t>
        </is>
      </c>
      <c r="I65" s="89" t="inlineStr">
        <is>
          <t>P</t>
        </is>
      </c>
      <c r="J65" s="121" t="inlineStr">
        <is>
          <t>UA</t>
        </is>
      </c>
      <c r="K65" s="89" t="inlineStr">
        <is>
          <t>P</t>
        </is>
      </c>
      <c r="L65" s="89" t="inlineStr">
        <is>
          <t>P</t>
        </is>
      </c>
      <c r="M65" s="89" t="inlineStr">
        <is>
          <t>P</t>
        </is>
      </c>
      <c r="N65" s="89" t="inlineStr">
        <is>
          <t>P</t>
        </is>
      </c>
      <c r="O65" s="89" t="inlineStr">
        <is>
          <t>P</t>
        </is>
      </c>
      <c r="P65" s="89" t="inlineStr">
        <is>
          <t>P</t>
        </is>
      </c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8">
        <f>IF($A66="","",'Employee Master'!C66)</f>
        <v/>
      </c>
      <c r="D66" s="89" t="inlineStr">
        <is>
          <t>P</t>
        </is>
      </c>
      <c r="E66" s="89" t="inlineStr">
        <is>
          <t>P</t>
        </is>
      </c>
      <c r="F66" s="89" t="inlineStr">
        <is>
          <t>P</t>
        </is>
      </c>
      <c r="G66" s="89" t="inlineStr">
        <is>
          <t>P</t>
        </is>
      </c>
      <c r="H66" s="89" t="inlineStr">
        <is>
          <t>P</t>
        </is>
      </c>
      <c r="I66" s="89" t="inlineStr">
        <is>
          <t>P</t>
        </is>
      </c>
      <c r="J66" s="89" t="inlineStr">
        <is>
          <t>P</t>
        </is>
      </c>
      <c r="K66" s="89" t="inlineStr">
        <is>
          <t>P</t>
        </is>
      </c>
      <c r="L66" s="89" t="inlineStr">
        <is>
          <t>P</t>
        </is>
      </c>
      <c r="M66" s="89" t="inlineStr">
        <is>
          <t>P</t>
        </is>
      </c>
      <c r="N66" s="89" t="inlineStr">
        <is>
          <t>P</t>
        </is>
      </c>
      <c r="O66" s="89" t="inlineStr">
        <is>
          <t>P</t>
        </is>
      </c>
      <c r="P66" s="89" t="inlineStr">
        <is>
          <t>P</t>
        </is>
      </c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8">
        <f>IF($A67="","",'Employee Master'!C67)</f>
        <v/>
      </c>
      <c r="D67" s="89" t="inlineStr">
        <is>
          <t>P</t>
        </is>
      </c>
      <c r="E67" s="89" t="inlineStr">
        <is>
          <t>P</t>
        </is>
      </c>
      <c r="F67" s="89" t="inlineStr">
        <is>
          <t>P</t>
        </is>
      </c>
      <c r="G67" s="89" t="inlineStr">
        <is>
          <t>P</t>
        </is>
      </c>
      <c r="H67" s="89" t="inlineStr">
        <is>
          <t>P</t>
        </is>
      </c>
      <c r="I67" s="89" t="inlineStr">
        <is>
          <t>P</t>
        </is>
      </c>
      <c r="J67" s="89" t="inlineStr">
        <is>
          <t>P</t>
        </is>
      </c>
      <c r="K67" s="89" t="inlineStr">
        <is>
          <t>P</t>
        </is>
      </c>
      <c r="L67" s="89" t="inlineStr">
        <is>
          <t>P</t>
        </is>
      </c>
      <c r="M67" s="89" t="inlineStr">
        <is>
          <t>P</t>
        </is>
      </c>
      <c r="N67" s="89" t="inlineStr">
        <is>
          <t>P</t>
        </is>
      </c>
      <c r="O67" s="89" t="inlineStr">
        <is>
          <t>P</t>
        </is>
      </c>
      <c r="P67" s="89" t="inlineStr">
        <is>
          <t>P</t>
        </is>
      </c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8">
        <f>IF($A68="","",'Employee Master'!C68)</f>
        <v/>
      </c>
      <c r="D68" s="89" t="inlineStr">
        <is>
          <t>UA</t>
        </is>
      </c>
      <c r="E68" s="89" t="inlineStr">
        <is>
          <t>UA</t>
        </is>
      </c>
      <c r="F68" s="89" t="inlineStr">
        <is>
          <t>UA</t>
        </is>
      </c>
      <c r="G68" s="89" t="inlineStr">
        <is>
          <t>UA</t>
        </is>
      </c>
      <c r="H68" s="89" t="inlineStr">
        <is>
          <t>UA</t>
        </is>
      </c>
      <c r="I68" s="89" t="inlineStr">
        <is>
          <t>UA</t>
        </is>
      </c>
      <c r="J68" s="89" t="inlineStr">
        <is>
          <t>UA</t>
        </is>
      </c>
      <c r="K68" s="89" t="inlineStr">
        <is>
          <t>UA</t>
        </is>
      </c>
      <c r="L68" s="89" t="inlineStr">
        <is>
          <t>UA</t>
        </is>
      </c>
      <c r="M68" s="89" t="inlineStr">
        <is>
          <t>UA</t>
        </is>
      </c>
      <c r="N68" s="89" t="inlineStr">
        <is>
          <t>UA</t>
        </is>
      </c>
      <c r="O68" s="89" t="inlineStr">
        <is>
          <t>UA</t>
        </is>
      </c>
      <c r="P68" s="89" t="inlineStr">
        <is>
          <t>UA</t>
        </is>
      </c>
      <c r="Q68" s="89" t="inlineStr">
        <is>
          <t>UA</t>
        </is>
      </c>
      <c r="R68" s="89" t="inlineStr">
        <is>
          <t>UA</t>
        </is>
      </c>
      <c r="S68" s="89" t="inlineStr">
        <is>
          <t>UA</t>
        </is>
      </c>
      <c r="T68" s="89" t="inlineStr">
        <is>
          <t>UA</t>
        </is>
      </c>
      <c r="U68" s="89" t="inlineStr">
        <is>
          <t>UA</t>
        </is>
      </c>
      <c r="V68" s="89" t="inlineStr">
        <is>
          <t>UA</t>
        </is>
      </c>
      <c r="W68" s="89" t="inlineStr">
        <is>
          <t>UA</t>
        </is>
      </c>
      <c r="X68" s="89" t="inlineStr">
        <is>
          <t>UA</t>
        </is>
      </c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8">
        <f>IF($A69="","",'Employee Master'!C69)</f>
        <v/>
      </c>
      <c r="D69" s="89" t="inlineStr">
        <is>
          <t>P</t>
        </is>
      </c>
      <c r="E69" s="89" t="inlineStr">
        <is>
          <t>P</t>
        </is>
      </c>
      <c r="F69" s="89" t="inlineStr">
        <is>
          <t>P</t>
        </is>
      </c>
      <c r="G69" s="89" t="inlineStr">
        <is>
          <t>P</t>
        </is>
      </c>
      <c r="H69" s="89" t="inlineStr">
        <is>
          <t>P</t>
        </is>
      </c>
      <c r="I69" s="89" t="inlineStr">
        <is>
          <t>P</t>
        </is>
      </c>
      <c r="J69" s="89" t="inlineStr">
        <is>
          <t>P</t>
        </is>
      </c>
      <c r="K69" s="89" t="inlineStr">
        <is>
          <t>P</t>
        </is>
      </c>
      <c r="L69" s="89" t="inlineStr">
        <is>
          <t>P</t>
        </is>
      </c>
      <c r="M69" s="89" t="inlineStr">
        <is>
          <t>P</t>
        </is>
      </c>
      <c r="N69" s="89" t="inlineStr">
        <is>
          <t>P</t>
        </is>
      </c>
      <c r="O69" s="89" t="inlineStr">
        <is>
          <t>P</t>
        </is>
      </c>
      <c r="P69" s="89" t="inlineStr">
        <is>
          <t>P</t>
        </is>
      </c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8">
        <f>IF($A70="","",'Employee Master'!C70)</f>
        <v/>
      </c>
      <c r="D70" s="89" t="inlineStr">
        <is>
          <t>P</t>
        </is>
      </c>
      <c r="E70" s="89" t="inlineStr">
        <is>
          <t>P</t>
        </is>
      </c>
      <c r="F70" s="89" t="inlineStr">
        <is>
          <t>P</t>
        </is>
      </c>
      <c r="G70" s="89" t="inlineStr">
        <is>
          <t>P</t>
        </is>
      </c>
      <c r="H70" s="89" t="inlineStr">
        <is>
          <t>P</t>
        </is>
      </c>
      <c r="I70" s="89" t="inlineStr">
        <is>
          <t>P</t>
        </is>
      </c>
      <c r="J70" s="89" t="inlineStr">
        <is>
          <t>P</t>
        </is>
      </c>
      <c r="K70" s="89" t="inlineStr">
        <is>
          <t>P</t>
        </is>
      </c>
      <c r="L70" s="89" t="inlineStr">
        <is>
          <t>P</t>
        </is>
      </c>
      <c r="M70" s="89" t="inlineStr">
        <is>
          <t>P</t>
        </is>
      </c>
      <c r="N70" s="89" t="inlineStr">
        <is>
          <t>P</t>
        </is>
      </c>
      <c r="O70" s="89" t="inlineStr">
        <is>
          <t>P</t>
        </is>
      </c>
      <c r="P70" s="89" t="inlineStr">
        <is>
          <t>P</t>
        </is>
      </c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8">
        <f>IF($A71="","",'Employee Master'!C71)</f>
        <v/>
      </c>
      <c r="D71" s="89" t="inlineStr">
        <is>
          <t>UA</t>
        </is>
      </c>
      <c r="E71" s="89" t="inlineStr">
        <is>
          <t>UA</t>
        </is>
      </c>
      <c r="F71" s="89" t="inlineStr">
        <is>
          <t>UA</t>
        </is>
      </c>
      <c r="G71" s="89" t="inlineStr">
        <is>
          <t>UA</t>
        </is>
      </c>
      <c r="H71" s="89" t="inlineStr">
        <is>
          <t>UA</t>
        </is>
      </c>
      <c r="I71" s="89" t="inlineStr">
        <is>
          <t>UA</t>
        </is>
      </c>
      <c r="J71" s="89" t="inlineStr">
        <is>
          <t>UA</t>
        </is>
      </c>
      <c r="K71" s="89" t="inlineStr">
        <is>
          <t>UA</t>
        </is>
      </c>
      <c r="L71" s="89" t="inlineStr">
        <is>
          <t>UA</t>
        </is>
      </c>
      <c r="M71" s="89" t="inlineStr">
        <is>
          <t>UA</t>
        </is>
      </c>
      <c r="N71" s="89" t="inlineStr">
        <is>
          <t>UA</t>
        </is>
      </c>
      <c r="O71" s="89" t="inlineStr">
        <is>
          <t>UA</t>
        </is>
      </c>
      <c r="P71" s="89" t="inlineStr">
        <is>
          <t>P</t>
        </is>
      </c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inlineStr">
        <is>
          <t>Working 2 days/week — update P days manually</t>
        </is>
      </c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8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8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8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8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8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8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8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8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8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8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8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8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8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8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8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8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8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8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8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8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8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8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8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8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8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8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8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8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8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8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8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8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8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8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8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8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30" activePane="bottomRight" state="frozen"/>
      <selection pane="topLeft" activeCell="A1" activeCellId="0" sqref="A1"/>
      <selection pane="topRight" activeCell="D1" activeCellId="0" sqref="D1"/>
      <selection pane="bottomLeft" activeCell="A30" activeCellId="0" sqref="A30"/>
      <selection pane="bottomRight" activeCell="C2" activeCellId="0" sqref="C2"/>
    </sheetView>
  </sheetViews>
  <sheetFormatPr baseColWidth="8" defaultRowHeight="14.45" zeroHeight="0" outlineLevelRow="0"/>
  <cols>
    <col width="25.86" customWidth="1" style="56" min="1" max="1"/>
    <col width="29.71" customWidth="1" style="56" min="2" max="2"/>
    <col width="19.99" customWidth="1" style="78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4.86" customWidth="1" style="78" min="48" max="48"/>
    <col width="31.57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May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Panel'!$B$3,5,1)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24.6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2.6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89" t="n"/>
      <c r="AE43" s="89" t="n"/>
      <c r="AF43" s="89" t="n"/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52" activePane="bottomRight" state="frozen"/>
      <selection pane="topLeft" activeCell="A1" activeCellId="0" sqref="A1"/>
      <selection pane="topRight" activeCell="D1" activeCellId="0" sqref="D1"/>
      <selection pane="bottomLeft" activeCell="A52" activeCellId="0" sqref="A52"/>
      <selection pane="bottomRight" activeCell="K12" activeCellId="0" sqref="K12"/>
    </sheetView>
  </sheetViews>
  <sheetFormatPr baseColWidth="8" defaultRowHeight="14.45" zeroHeight="0" outlineLevelRow="0"/>
  <cols>
    <col width="29.29" customWidth="1" style="56" min="1" max="1"/>
    <col width="24" customWidth="1" style="56" min="2" max="2"/>
    <col width="19.99" customWidth="1" style="78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5.57" customWidth="1" style="84" min="48" max="48"/>
    <col width="32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June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Panel'!$B$3,6,1)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84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84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2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84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84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84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84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84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89" t="n"/>
      <c r="AE43" s="89" t="n"/>
      <c r="AF43" s="89" t="n"/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N15" activeCellId="0" sqref="N15"/>
    </sheetView>
  </sheetViews>
  <sheetFormatPr baseColWidth="8" defaultRowHeight="14.45" zeroHeight="0" outlineLevelRow="0"/>
  <cols>
    <col width="32" customWidth="1" style="56" min="1" max="1"/>
    <col width="24" customWidth="1" style="56" min="2" max="2"/>
    <col width="19.99" customWidth="1" style="78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6.15" customWidth="1" style="78" min="48" max="48"/>
    <col width="33.29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July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Panel'!$B$3,7,1)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6.15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121" t="inlineStr">
        <is>
          <t>UA</t>
        </is>
      </c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121" t="inlineStr">
        <is>
          <t>UA</t>
        </is>
      </c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121" t="inlineStr">
        <is>
          <t>UA</t>
        </is>
      </c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89" t="n"/>
      <c r="AE43" s="89" t="n"/>
      <c r="AF43" s="89" t="n"/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N13" activeCellId="0" sqref="N13"/>
    </sheetView>
  </sheetViews>
  <sheetFormatPr baseColWidth="8" defaultRowHeight="14.45" zeroHeight="0" outlineLevelRow="0"/>
  <cols>
    <col width="27.13" customWidth="1" style="56" min="1" max="1"/>
    <col width="24" customWidth="1" style="56" min="2" max="2"/>
    <col width="19.99" customWidth="1" style="78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5.7" customWidth="1" style="78" min="48" max="48"/>
    <col width="36.71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August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Panel'!$B$3,8,1)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42.6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121" t="inlineStr">
        <is>
          <t>UA</t>
        </is>
      </c>
      <c r="AG9" s="121" t="inlineStr">
        <is>
          <t>UA</t>
        </is>
      </c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121" t="inlineStr">
        <is>
          <t>UA</t>
        </is>
      </c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121" t="inlineStr">
        <is>
          <t>UA</t>
        </is>
      </c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121" t="inlineStr">
        <is>
          <t>UA</t>
        </is>
      </c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89" t="n"/>
      <c r="AE43" s="89" t="n"/>
      <c r="AF43" s="89" t="n"/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121" t="inlineStr">
        <is>
          <t>UA</t>
        </is>
      </c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D7" activeCellId="0" sqref="D7"/>
    </sheetView>
  </sheetViews>
  <sheetFormatPr baseColWidth="8" defaultRowHeight="14.45" zeroHeight="0" outlineLevelRow="0"/>
  <cols>
    <col width="27.85" customWidth="1" style="56" min="1" max="1"/>
    <col width="26" customWidth="1" style="56" min="2" max="2"/>
    <col width="19.99" customWidth="1" style="56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7" customWidth="1" style="78" min="48" max="48"/>
    <col width="34.86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September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Panel'!$B$3,9,1)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37.9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8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8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8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8">
        <f>IF($A11="","",'Employee Master'!C11)</f>
        <v/>
      </c>
      <c r="D11" s="89" t="n"/>
      <c r="E11" s="89" t="n"/>
      <c r="F11" s="89" t="n"/>
      <c r="G11" s="121" t="inlineStr">
        <is>
          <t>UA</t>
        </is>
      </c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8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8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8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8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8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8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8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121" t="inlineStr">
        <is>
          <t>UA</t>
        </is>
      </c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8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8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8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8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8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8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8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8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8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8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8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8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8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121" t="inlineStr">
        <is>
          <t>UA</t>
        </is>
      </c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8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8">
        <f>IF($A33="","",'Employee Master'!C33)</f>
        <v/>
      </c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8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8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8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8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8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8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8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8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8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8">
        <f>IF($A43="","",'Employee Master'!C43)</f>
        <v/>
      </c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89" t="n"/>
      <c r="AE43" s="89" t="n"/>
      <c r="AF43" s="121" t="inlineStr">
        <is>
          <t>UA</t>
        </is>
      </c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8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8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8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8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8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8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8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8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121" t="inlineStr">
        <is>
          <t>UA</t>
        </is>
      </c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8">
        <f>IF($A52="","",'Employee Master'!C52)</f>
        <v/>
      </c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8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8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8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8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8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8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8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8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8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8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8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8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8">
        <f>IF($A65="","",'Employee Master'!C65)</f>
        <v/>
      </c>
      <c r="D65" s="89" t="n"/>
      <c r="E65" s="89" t="n"/>
      <c r="F65" s="121" t="inlineStr">
        <is>
          <t>UA</t>
        </is>
      </c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121" t="inlineStr">
        <is>
          <t>UA</t>
        </is>
      </c>
      <c r="V65" s="89" t="n"/>
      <c r="W65" s="89" t="n"/>
      <c r="X65" s="89" t="n"/>
      <c r="Y65" s="121" t="inlineStr">
        <is>
          <t>UA</t>
        </is>
      </c>
      <c r="Z65" s="89" t="n"/>
      <c r="AA65" s="89" t="n"/>
      <c r="AB65" s="121" t="inlineStr">
        <is>
          <t>UA</t>
        </is>
      </c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8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8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8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8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8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8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8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8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8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8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8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8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8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8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8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8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8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8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8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8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8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8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8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8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8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8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8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8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8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8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8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8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8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8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8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8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8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8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8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8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8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8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C2" activeCellId="0" sqref="C2"/>
    </sheetView>
  </sheetViews>
  <sheetFormatPr baseColWidth="8" defaultRowHeight="14.45" zeroHeight="0" outlineLevelRow="0"/>
  <cols>
    <col width="28.71" customWidth="1" style="56" min="1" max="1"/>
    <col width="24" customWidth="1" style="56" min="2" max="2"/>
    <col width="19.99" customWidth="1" style="78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6.71" customWidth="1" style="84" min="48" max="48"/>
    <col width="34.42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October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Panel'!$B$3,10,1)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84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84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34.9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84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84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121" t="inlineStr">
        <is>
          <t>UA</t>
        </is>
      </c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84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84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84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89" t="n"/>
      <c r="AE43" s="89" t="n"/>
      <c r="AF43" s="89" t="n"/>
      <c r="AG43" s="89" t="n"/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121" t="inlineStr">
        <is>
          <t>UA</t>
        </is>
      </c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H7" activeCellId="0" sqref="H7"/>
    </sheetView>
  </sheetViews>
  <sheetFormatPr baseColWidth="8" defaultRowHeight="14.45" zeroHeight="0" outlineLevelRow="0"/>
  <cols>
    <col width="28.3" customWidth="1" style="56" min="1" max="1"/>
    <col width="26" customWidth="1" style="56" min="2" max="2"/>
    <col width="15.71" customWidth="1" style="78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5.14" customWidth="1" style="78" min="48" max="48"/>
    <col width="34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November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Panel'!$B$3,11,1)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37.9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  <c r="AC31" s="89" t="n"/>
      <c r="AD31" s="89" t="n"/>
      <c r="AE31" s="89" t="n"/>
      <c r="AF31" s="89" t="n"/>
      <c r="AG31" s="89" t="n"/>
      <c r="AH31" s="89" t="n"/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121" t="inlineStr">
        <is>
          <t>UA</t>
        </is>
      </c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  <c r="AD43" s="121" t="inlineStr">
        <is>
          <t>UA</t>
        </is>
      </c>
      <c r="AE43" s="121" t="inlineStr">
        <is>
          <t>UA</t>
        </is>
      </c>
      <c r="AF43" s="121" t="inlineStr">
        <is>
          <t>UA</t>
        </is>
      </c>
      <c r="AG43" s="121" t="inlineStr">
        <is>
          <t>UA</t>
        </is>
      </c>
      <c r="AH43" s="89" t="n"/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121" t="inlineStr">
        <is>
          <t>UA</t>
        </is>
      </c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  <c r="AC47" s="89" t="n"/>
      <c r="AD47" s="89" t="n"/>
      <c r="AE47" s="89" t="n"/>
      <c r="AF47" s="89" t="n"/>
      <c r="AG47" s="89" t="n"/>
      <c r="AH47" s="89" t="n"/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n"/>
      <c r="E52" s="89" t="n"/>
      <c r="F52" s="89" t="n"/>
      <c r="G52" s="89" t="n"/>
      <c r="H52" s="121" t="inlineStr">
        <is>
          <t>UA</t>
        </is>
      </c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121" t="inlineStr">
        <is>
          <t>UA</t>
        </is>
      </c>
      <c r="AE61" s="121" t="inlineStr">
        <is>
          <t>UA</t>
        </is>
      </c>
      <c r="AF61" s="121" t="inlineStr">
        <is>
          <t>UA</t>
        </is>
      </c>
      <c r="AG61" s="121" t="inlineStr">
        <is>
          <t>UA</t>
        </is>
      </c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121" t="inlineStr">
        <is>
          <t>UA</t>
        </is>
      </c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121" t="inlineStr">
        <is>
          <t>UA</t>
        </is>
      </c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X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S9" activeCellId="0" sqref="S9"/>
    </sheetView>
  </sheetViews>
  <sheetFormatPr baseColWidth="8" defaultRowHeight="14.45" zeroHeight="0" outlineLevelRow="0"/>
  <cols>
    <col width="28.14" customWidth="1" style="56" min="1" max="1"/>
    <col width="24" customWidth="1" style="56" min="2" max="2"/>
    <col width="19.99" customWidth="1" style="78" min="3" max="3"/>
    <col width="4.29" customWidth="1" style="56" min="4" max="34"/>
    <col width="10" customWidth="1" style="56" min="35" max="35"/>
    <col width="14.01" customWidth="1" style="56" min="36" max="36"/>
    <col width="15" customWidth="1" style="56" min="37" max="37"/>
    <col width="11.99" customWidth="1" style="56" min="38" max="38"/>
    <col width="13.02" customWidth="1" style="56" min="39" max="39"/>
    <col width="11.99" customWidth="1" style="56" min="40" max="40"/>
    <col width="10.99" customWidth="1" style="56" min="41" max="41"/>
    <col width="9" customWidth="1" style="56" min="42" max="42"/>
    <col width="19.99" customWidth="1" style="56" min="43" max="43"/>
    <col width="24" customWidth="1" style="56" min="44" max="44"/>
    <col width="10.99" customWidth="1" style="56" min="45" max="46"/>
    <col width="13.02" customWidth="1" style="56" min="47" max="47"/>
    <col width="6.87" customWidth="1" style="78" min="48" max="48"/>
    <col width="34.71" customWidth="1" style="56" min="49" max="49"/>
    <col width="24" customWidth="1" style="56" min="50" max="50"/>
    <col width="8.67" customWidth="1" style="56" min="51" max="1025"/>
  </cols>
  <sheetData>
    <row r="1" ht="24" customHeight="1" s="57">
      <c r="A1" s="58" t="inlineStr">
        <is>
          <t>December Monthly Staff Attendance Master Register</t>
        </is>
      </c>
    </row>
    <row r="2" ht="18" customHeight="1" s="57">
      <c r="A2" s="69" t="inlineStr">
        <is>
          <t>Month Start</t>
        </is>
      </c>
      <c r="B2" s="83">
        <f>DATE('Control Panel'!$B$3,12,1)</f>
        <v/>
      </c>
      <c r="D2" s="69" t="inlineStr">
        <is>
          <t>Reporting Month</t>
        </is>
      </c>
      <c r="E2" s="70">
        <f>TEXT($B$2,"mmmm yyyy")</f>
        <v/>
      </c>
      <c r="H2" s="69" t="inlineStr">
        <is>
          <t>Working Days</t>
        </is>
      </c>
      <c r="I2" s="70">
        <f>COUNTA($D$4:$AH$4)</f>
        <v/>
      </c>
      <c r="K2" s="69" t="inlineStr">
        <is>
          <t>Active Employees</t>
        </is>
      </c>
      <c r="L2" s="70">
        <f>COUNTIFS('Employee Master'!A8:A107,"?*",'Employee Master'!D8:D107,"Active")</f>
        <v/>
      </c>
      <c r="AW2" s="59" t="inlineStr">
        <is>
          <t>Status</t>
        </is>
      </c>
      <c r="AX2" s="59" t="inlineStr">
        <is>
          <t>Meaning</t>
        </is>
      </c>
    </row>
    <row r="3" ht="36" customHeight="1" s="57">
      <c r="A3" s="64" t="inlineStr">
        <is>
          <t>Enter daily statuses using: P, AA, UA, SA, EA, OR, WO, H. All calendar days from the 1st to the last day of the month are treated as work days, including weekends and public holidays, unless an absence status is entered.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6" t="n"/>
      <c r="AW3" s="62" t="inlineStr">
        <is>
          <t>P</t>
        </is>
      </c>
      <c r="AX3" s="63" t="inlineStr">
        <is>
          <t>Present</t>
        </is>
      </c>
    </row>
    <row r="4" ht="18" customHeight="1" s="57">
      <c r="D4" s="85">
        <f>IF(COLUMN()-3&lt;=DAY(DATE(YEAR($B$2),MONTH($B$2)+1,0)),DATE(YEAR($B$2),MONTH($B$2),COLUMN()-3),"")</f>
        <v/>
      </c>
      <c r="E4" s="85">
        <f>IF(COLUMN()-3&lt;=DAY(DATE(YEAR($B$2),MONTH($B$2)+1,0)),DATE(YEAR($B$2),MONTH($B$2),COLUMN()-3),"")</f>
        <v/>
      </c>
      <c r="F4" s="85">
        <f>IF(COLUMN()-3&lt;=DAY(DATE(YEAR($B$2),MONTH($B$2)+1,0)),DATE(YEAR($B$2),MONTH($B$2),COLUMN()-3),"")</f>
        <v/>
      </c>
      <c r="G4" s="85">
        <f>IF(COLUMN()-3&lt;=DAY(DATE(YEAR($B$2),MONTH($B$2)+1,0)),DATE(YEAR($B$2),MONTH($B$2),COLUMN()-3),"")</f>
        <v/>
      </c>
      <c r="H4" s="85">
        <f>IF(COLUMN()-3&lt;=DAY(DATE(YEAR($B$2),MONTH($B$2)+1,0)),DATE(YEAR($B$2),MONTH($B$2),COLUMN()-3),"")</f>
        <v/>
      </c>
      <c r="I4" s="85">
        <f>IF(COLUMN()-3&lt;=DAY(DATE(YEAR($B$2),MONTH($B$2)+1,0)),DATE(YEAR($B$2),MONTH($B$2),COLUMN()-3),"")</f>
        <v/>
      </c>
      <c r="J4" s="85">
        <f>IF(COLUMN()-3&lt;=DAY(DATE(YEAR($B$2),MONTH($B$2)+1,0)),DATE(YEAR($B$2),MONTH($B$2),COLUMN()-3),"")</f>
        <v/>
      </c>
      <c r="K4" s="85">
        <f>IF(COLUMN()-3&lt;=DAY(DATE(YEAR($B$2),MONTH($B$2)+1,0)),DATE(YEAR($B$2),MONTH($B$2),COLUMN()-3),"")</f>
        <v/>
      </c>
      <c r="L4" s="85">
        <f>IF(COLUMN()-3&lt;=DAY(DATE(YEAR($B$2),MONTH($B$2)+1,0)),DATE(YEAR($B$2),MONTH($B$2),COLUMN()-3),"")</f>
        <v/>
      </c>
      <c r="M4" s="85">
        <f>IF(COLUMN()-3&lt;=DAY(DATE(YEAR($B$2),MONTH($B$2)+1,0)),DATE(YEAR($B$2),MONTH($B$2),COLUMN()-3),"")</f>
        <v/>
      </c>
      <c r="N4" s="85">
        <f>IF(COLUMN()-3&lt;=DAY(DATE(YEAR($B$2),MONTH($B$2)+1,0)),DATE(YEAR($B$2),MONTH($B$2),COLUMN()-3),"")</f>
        <v/>
      </c>
      <c r="O4" s="85">
        <f>IF(COLUMN()-3&lt;=DAY(DATE(YEAR($B$2),MONTH($B$2)+1,0)),DATE(YEAR($B$2),MONTH($B$2),COLUMN()-3),"")</f>
        <v/>
      </c>
      <c r="P4" s="85">
        <f>IF(COLUMN()-3&lt;=DAY(DATE(YEAR($B$2),MONTH($B$2)+1,0)),DATE(YEAR($B$2),MONTH($B$2),COLUMN()-3),"")</f>
        <v/>
      </c>
      <c r="Q4" s="85">
        <f>IF(COLUMN()-3&lt;=DAY(DATE(YEAR($B$2),MONTH($B$2)+1,0)),DATE(YEAR($B$2),MONTH($B$2),COLUMN()-3),"")</f>
        <v/>
      </c>
      <c r="R4" s="85">
        <f>IF(COLUMN()-3&lt;=DAY(DATE(YEAR($B$2),MONTH($B$2)+1,0)),DATE(YEAR($B$2),MONTH($B$2),COLUMN()-3),"")</f>
        <v/>
      </c>
      <c r="S4" s="85">
        <f>IF(COLUMN()-3&lt;=DAY(DATE(YEAR($B$2),MONTH($B$2)+1,0)),DATE(YEAR($B$2),MONTH($B$2),COLUMN()-3),"")</f>
        <v/>
      </c>
      <c r="T4" s="85">
        <f>IF(COLUMN()-3&lt;=DAY(DATE(YEAR($B$2),MONTH($B$2)+1,0)),DATE(YEAR($B$2),MONTH($B$2),COLUMN()-3),"")</f>
        <v/>
      </c>
      <c r="U4" s="85">
        <f>IF(COLUMN()-3&lt;=DAY(DATE(YEAR($B$2),MONTH($B$2)+1,0)),DATE(YEAR($B$2),MONTH($B$2),COLUMN()-3),"")</f>
        <v/>
      </c>
      <c r="V4" s="85">
        <f>IF(COLUMN()-3&lt;=DAY(DATE(YEAR($B$2),MONTH($B$2)+1,0)),DATE(YEAR($B$2),MONTH($B$2),COLUMN()-3),"")</f>
        <v/>
      </c>
      <c r="W4" s="85">
        <f>IF(COLUMN()-3&lt;=DAY(DATE(YEAR($B$2),MONTH($B$2)+1,0)),DATE(YEAR($B$2),MONTH($B$2),COLUMN()-3),"")</f>
        <v/>
      </c>
      <c r="X4" s="85">
        <f>IF(COLUMN()-3&lt;=DAY(DATE(YEAR($B$2),MONTH($B$2)+1,0)),DATE(YEAR($B$2),MONTH($B$2),COLUMN()-3),"")</f>
        <v/>
      </c>
      <c r="Y4" s="85">
        <f>IF(COLUMN()-3&lt;=DAY(DATE(YEAR($B$2),MONTH($B$2)+1,0)),DATE(YEAR($B$2),MONTH($B$2),COLUMN()-3),"")</f>
        <v/>
      </c>
      <c r="Z4" s="85">
        <f>IF(COLUMN()-3&lt;=DAY(DATE(YEAR($B$2),MONTH($B$2)+1,0)),DATE(YEAR($B$2),MONTH($B$2),COLUMN()-3),"")</f>
        <v/>
      </c>
      <c r="AA4" s="85">
        <f>IF(COLUMN()-3&lt;=DAY(DATE(YEAR($B$2),MONTH($B$2)+1,0)),DATE(YEAR($B$2),MONTH($B$2),COLUMN()-3),"")</f>
        <v/>
      </c>
      <c r="AB4" s="85">
        <f>IF(COLUMN()-3&lt;=DAY(DATE(YEAR($B$2),MONTH($B$2)+1,0)),DATE(YEAR($B$2),MONTH($B$2),COLUMN()-3),"")</f>
        <v/>
      </c>
      <c r="AC4" s="85">
        <f>IF(COLUMN()-3&lt;=DAY(DATE(YEAR($B$2),MONTH($B$2)+1,0)),DATE(YEAR($B$2),MONTH($B$2),COLUMN()-3),"")</f>
        <v/>
      </c>
      <c r="AD4" s="85">
        <f>IF(COLUMN()-3&lt;=DAY(DATE(YEAR($B$2),MONTH($B$2)+1,0)),DATE(YEAR($B$2),MONTH($B$2),COLUMN()-3),"")</f>
        <v/>
      </c>
      <c r="AE4" s="85">
        <f>IF(COLUMN()-3&lt;=DAY(DATE(YEAR($B$2),MONTH($B$2)+1,0)),DATE(YEAR($B$2),MONTH($B$2),COLUMN()-3),"")</f>
        <v/>
      </c>
      <c r="AF4" s="85">
        <f>IF(COLUMN()-3&lt;=DAY(DATE(YEAR($B$2),MONTH($B$2)+1,0)),DATE(YEAR($B$2),MONTH($B$2),COLUMN()-3),"")</f>
        <v/>
      </c>
      <c r="AG4" s="85">
        <f>IF(COLUMN()-3&lt;=DAY(DATE(YEAR($B$2),MONTH($B$2)+1,0)),DATE(YEAR($B$2),MONTH($B$2),COLUMN()-3),"")</f>
        <v/>
      </c>
      <c r="AH4" s="85">
        <f>IF(COLUMN()-3&lt;=DAY(DATE(YEAR($B$2),MONTH($B$2)+1,0)),DATE(YEAR($B$2),MONTH($B$2),COLUMN()-3),"")</f>
        <v/>
      </c>
      <c r="AV4" s="78" t="inlineStr">
        <is>
          <t>AA</t>
        </is>
      </c>
      <c r="AW4" s="67" t="inlineStr">
        <is>
          <t>Authorised Attendance</t>
        </is>
      </c>
      <c r="AX4" s="63" t="inlineStr">
        <is>
          <t>Authorised Attendance</t>
        </is>
      </c>
    </row>
    <row r="5" ht="18" customHeight="1" s="57">
      <c r="A5" s="59" t="inlineStr">
        <is>
          <t>Employee Details</t>
        </is>
      </c>
      <c r="B5" s="65" t="n"/>
      <c r="C5" s="66" t="n"/>
      <c r="D5" s="59" t="inlineStr">
        <is>
          <t>Daily Attendance Status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6" t="n"/>
      <c r="AI5" s="59" t="inlineStr">
        <is>
          <t>Monthly Summary &amp; Forensic Review</t>
        </is>
      </c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6" t="n"/>
      <c r="AV5" s="78" t="inlineStr">
        <is>
          <t>UA</t>
        </is>
      </c>
      <c r="AW5" s="68" t="inlineStr">
        <is>
          <t>Unauthorised Attendance</t>
        </is>
      </c>
      <c r="AX5" s="63" t="inlineStr">
        <is>
          <t>Unauthorised Attendance</t>
        </is>
      </c>
    </row>
    <row r="6" ht="35.45" customHeight="1" s="57">
      <c r="A6" s="79" t="inlineStr">
        <is>
          <t>Employee ID</t>
        </is>
      </c>
      <c r="B6" s="79" t="inlineStr">
        <is>
          <t>Employee Name</t>
        </is>
      </c>
      <c r="C6" s="79" t="inlineStr">
        <is>
          <t>Reported To</t>
        </is>
      </c>
      <c r="D6" s="79">
        <f>IF(D$4="","",DAY(D$4))</f>
        <v/>
      </c>
      <c r="E6" s="79">
        <f>IF(E$4="","",DAY(E$4))</f>
        <v/>
      </c>
      <c r="F6" s="79">
        <f>IF(F$4="","",DAY(F$4))</f>
        <v/>
      </c>
      <c r="G6" s="79">
        <f>IF(G$4="","",DAY(G$4))</f>
        <v/>
      </c>
      <c r="H6" s="79">
        <f>IF(H$4="","",DAY(H$4))</f>
        <v/>
      </c>
      <c r="I6" s="79">
        <f>IF(I$4="","",DAY(I$4))</f>
        <v/>
      </c>
      <c r="J6" s="79">
        <f>IF(J$4="","",DAY(J$4))</f>
        <v/>
      </c>
      <c r="K6" s="79">
        <f>IF(K$4="","",DAY(K$4))</f>
        <v/>
      </c>
      <c r="L6" s="79">
        <f>IF(L$4="","",DAY(L$4))</f>
        <v/>
      </c>
      <c r="M6" s="79">
        <f>IF(M$4="","",DAY(M$4))</f>
        <v/>
      </c>
      <c r="N6" s="79">
        <f>IF(N$4="","",DAY(N$4))</f>
        <v/>
      </c>
      <c r="O6" s="79">
        <f>IF(O$4="","",DAY(O$4))</f>
        <v/>
      </c>
      <c r="P6" s="79">
        <f>IF(P$4="","",DAY(P$4))</f>
        <v/>
      </c>
      <c r="Q6" s="79">
        <f>IF(Q$4="","",DAY(Q$4))</f>
        <v/>
      </c>
      <c r="R6" s="79">
        <f>IF(R$4="","",DAY(R$4))</f>
        <v/>
      </c>
      <c r="S6" s="79">
        <f>IF(S$4="","",DAY(S$4))</f>
        <v/>
      </c>
      <c r="T6" s="79">
        <f>IF(T$4="","",DAY(T$4))</f>
        <v/>
      </c>
      <c r="U6" s="79">
        <f>IF(U$4="","",DAY(U$4))</f>
        <v/>
      </c>
      <c r="V6" s="79">
        <f>IF(V$4="","",DAY(V$4))</f>
        <v/>
      </c>
      <c r="W6" s="79">
        <f>IF(W$4="","",DAY(W$4))</f>
        <v/>
      </c>
      <c r="X6" s="79">
        <f>IF(X$4="","",DAY(X$4))</f>
        <v/>
      </c>
      <c r="Y6" s="79">
        <f>IF(Y$4="","",DAY(Y$4))</f>
        <v/>
      </c>
      <c r="Z6" s="79">
        <f>IF(Z$4="","",DAY(Z$4))</f>
        <v/>
      </c>
      <c r="AA6" s="79">
        <f>IF(AA$4="","",DAY(AA$4))</f>
        <v/>
      </c>
      <c r="AB6" s="79">
        <f>IF(AB$4="","",DAY(AB$4))</f>
        <v/>
      </c>
      <c r="AC6" s="79">
        <f>IF(AC$4="","",DAY(AC$4))</f>
        <v/>
      </c>
      <c r="AD6" s="79">
        <f>IF(AD$4="","",DAY(AD$4))</f>
        <v/>
      </c>
      <c r="AE6" s="79">
        <f>IF(AE$4="","",DAY(AE$4))</f>
        <v/>
      </c>
      <c r="AF6" s="79">
        <f>IF(AF$4="","",DAY(AF$4))</f>
        <v/>
      </c>
      <c r="AG6" s="79">
        <f>IF(AG$4="","",DAY(AG$4))</f>
        <v/>
      </c>
      <c r="AH6" s="79">
        <f>IF(AH$4="","",DAY(AH$4))</f>
        <v/>
      </c>
      <c r="AI6" s="79" t="inlineStr">
        <is>
          <t>Present</t>
        </is>
      </c>
      <c r="AJ6" s="79" t="inlineStr">
        <is>
          <t>Authorised Absence</t>
        </is>
      </c>
      <c r="AK6" s="79" t="inlineStr">
        <is>
          <t>Unauthorised Absence</t>
        </is>
      </c>
      <c r="AL6" s="79" t="inlineStr">
        <is>
          <t>Sickness Absence</t>
        </is>
      </c>
      <c r="AM6" s="79" t="inlineStr">
        <is>
          <t>Emergency Absence</t>
        </is>
      </c>
      <c r="AN6" s="79" t="inlineStr">
        <is>
          <t>Other Reason</t>
        </is>
      </c>
      <c r="AO6" s="79" t="inlineStr">
        <is>
          <t>Weekend Off</t>
        </is>
      </c>
      <c r="AP6" s="79" t="inlineStr">
        <is>
          <t>Holiday</t>
        </is>
      </c>
      <c r="AQ6" s="79" t="inlineStr">
        <is>
          <t>Absence Reason</t>
        </is>
      </c>
      <c r="AR6" s="79" t="inlineStr">
        <is>
          <t>Remarks</t>
        </is>
      </c>
      <c r="AS6" s="79" t="inlineStr">
        <is>
          <t>Attendance %</t>
        </is>
      </c>
      <c r="AT6" s="79" t="inlineStr">
        <is>
          <t>Compliance %</t>
        </is>
      </c>
      <c r="AU6" s="79" t="inlineStr">
        <is>
          <t>Forensic Flag</t>
        </is>
      </c>
      <c r="AV6" s="78" t="inlineStr">
        <is>
          <t>SA</t>
        </is>
      </c>
      <c r="AW6" s="71" t="inlineStr">
        <is>
          <t>Sick Absence</t>
        </is>
      </c>
      <c r="AX6" s="63" t="inlineStr">
        <is>
          <t>Sick Absence</t>
        </is>
      </c>
    </row>
    <row r="7" ht="18" customHeight="1" s="57">
      <c r="D7" s="86">
        <f>IF(D$4="","","WD")</f>
        <v/>
      </c>
      <c r="E7" s="86">
        <f>IF(E$4="","","WD")</f>
        <v/>
      </c>
      <c r="F7" s="86">
        <f>IF(F$4="","","WD")</f>
        <v/>
      </c>
      <c r="G7" s="86">
        <f>IF(G$4="","","WD")</f>
        <v/>
      </c>
      <c r="H7" s="86">
        <f>IF(H$4="","","WD")</f>
        <v/>
      </c>
      <c r="I7" s="86">
        <f>IF(I$4="","","WD")</f>
        <v/>
      </c>
      <c r="J7" s="86">
        <f>IF(J$4="","","WD")</f>
        <v/>
      </c>
      <c r="K7" s="86">
        <f>IF(K$4="","","WD")</f>
        <v/>
      </c>
      <c r="L7" s="86">
        <f>IF(L$4="","","WD")</f>
        <v/>
      </c>
      <c r="M7" s="86">
        <f>IF(M$4="","","WD")</f>
        <v/>
      </c>
      <c r="N7" s="86">
        <f>IF(N$4="","","WD")</f>
        <v/>
      </c>
      <c r="O7" s="86">
        <f>IF(O$4="","","WD")</f>
        <v/>
      </c>
      <c r="P7" s="86">
        <f>IF(P$4="","","WD")</f>
        <v/>
      </c>
      <c r="Q7" s="86">
        <f>IF(Q$4="","","WD")</f>
        <v/>
      </c>
      <c r="R7" s="86">
        <f>IF(R$4="","","WD")</f>
        <v/>
      </c>
      <c r="S7" s="86">
        <f>IF(S$4="","","WD")</f>
        <v/>
      </c>
      <c r="T7" s="86">
        <f>IF(T$4="","","WD")</f>
        <v/>
      </c>
      <c r="U7" s="86">
        <f>IF(U$4="","","WD")</f>
        <v/>
      </c>
      <c r="V7" s="86">
        <f>IF(V$4="","","WD")</f>
        <v/>
      </c>
      <c r="W7" s="86">
        <f>IF(W$4="","","WD")</f>
        <v/>
      </c>
      <c r="X7" s="86">
        <f>IF(X$4="","","WD")</f>
        <v/>
      </c>
      <c r="Y7" s="86">
        <f>IF(Y$4="","","WD")</f>
        <v/>
      </c>
      <c r="Z7" s="86">
        <f>IF(Z$4="","","WD")</f>
        <v/>
      </c>
      <c r="AA7" s="86">
        <f>IF(AA$4="","","WD")</f>
        <v/>
      </c>
      <c r="AB7" s="86">
        <f>IF(AB$4="","","WD")</f>
        <v/>
      </c>
      <c r="AC7" s="86">
        <f>IF(AC$4="","","WD")</f>
        <v/>
      </c>
      <c r="AD7" s="86">
        <f>IF(AD$4="","","WD")</f>
        <v/>
      </c>
      <c r="AE7" s="86">
        <f>IF(AE$4="","","WD")</f>
        <v/>
      </c>
      <c r="AF7" s="86">
        <f>IF(AF$4="","","WD")</f>
        <v/>
      </c>
      <c r="AG7" s="86">
        <f>IF(AG$4="","","WD")</f>
        <v/>
      </c>
      <c r="AH7" s="86">
        <f>IF(AH$4="","","WD")</f>
        <v/>
      </c>
      <c r="AV7" s="78" t="inlineStr">
        <is>
          <t>EA</t>
        </is>
      </c>
      <c r="AW7" s="72" t="inlineStr">
        <is>
          <t>Emergency Absence</t>
        </is>
      </c>
      <c r="AX7" s="63" t="inlineStr">
        <is>
          <t>Emergency Absence</t>
        </is>
      </c>
    </row>
    <row r="8" ht="18" customHeight="1" s="57">
      <c r="A8" s="87">
        <f>IF('Employee Master'!A8="","",'Employee Master'!A8)</f>
        <v/>
      </c>
      <c r="B8" s="88">
        <f>IF($A8="","",'Employee Master'!B8)</f>
        <v/>
      </c>
      <c r="C8" s="87">
        <f>IF($A8="","",'Employee Master'!C8)</f>
        <v/>
      </c>
      <c r="D8" s="89" t="n"/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70">
        <f>IF($A8="","",COUNTIF($D8:$AH8,"P"))</f>
        <v/>
      </c>
      <c r="AJ8" s="70">
        <f>IF($A8="","",COUNTIF($D8:$AH8,"AA")+COUNTIF($D8:$AH8,"SA")+COUNTIF($D8:$AH8,"EA")+COUNTIF($D8:$AH8,"OR")+COUNTIF($D8:$AH8,"WO")+COUNTIF($D8:$AH8,"H"))</f>
        <v/>
      </c>
      <c r="AK8" s="70">
        <f>IF($A8="","",COUNTIF($D8:$AH8,"UA"))</f>
        <v/>
      </c>
      <c r="AL8" s="70">
        <f>IF($A8="","",COUNTIF($D8:$AH8,"SA"))</f>
        <v/>
      </c>
      <c r="AM8" s="70">
        <f>IF($A8="","",COUNTIF($D8:$AH8,"EA"))</f>
        <v/>
      </c>
      <c r="AN8" s="70">
        <f>IF($A8="","",COUNTIF($D8:$AH8,"OR"))</f>
        <v/>
      </c>
      <c r="AO8" s="70">
        <f>IF($A8="","",COUNTIF($D8:$AH8,"WO"))</f>
        <v/>
      </c>
      <c r="AP8" s="70">
        <f>IF($A8="","",COUNTIF($D8:$AH8,"H"))</f>
        <v/>
      </c>
      <c r="AQ8" s="77" t="n"/>
      <c r="AR8" s="77" t="n"/>
      <c r="AS8" s="90">
        <f>IF(OR($A8="",$I$2=0),"",AI8/$I$2)</f>
        <v/>
      </c>
      <c r="AT8" s="90">
        <f>IF(OR($A8="",$I$2=0),"",(AI8+AJ8)/$I$2)</f>
        <v/>
      </c>
      <c r="AU8" s="70">
        <f>IF($A8="","",IF(OR($AK8&gt;=2,AND($AK8&gt;0,$AQ8=""),AND($AK8&gt;0,$AR8="")),"CRITICAL",IF(OR($AK8=1,AND(($AJ8)&gt;0,$AQ8=""),AND(($AJ8)&gt;0,$AR8=""),$AT8&lt;0.95),"REVIEW","OK")))</f>
        <v/>
      </c>
      <c r="AV8" s="78" t="inlineStr">
        <is>
          <t>OR</t>
        </is>
      </c>
      <c r="AW8" s="73" t="inlineStr">
        <is>
          <t>Other Reason</t>
        </is>
      </c>
      <c r="AX8" s="63" t="inlineStr">
        <is>
          <t>Other Reason</t>
        </is>
      </c>
    </row>
    <row r="9" ht="18" customHeight="1" s="57">
      <c r="A9" s="87">
        <f>IF('Employee Master'!A9="","",'Employee Master'!A9)</f>
        <v/>
      </c>
      <c r="B9" s="88">
        <f>IF($A9="","",'Employee Master'!B9)</f>
        <v/>
      </c>
      <c r="C9" s="87">
        <f>IF($A9="","",'Employee Master'!C9)</f>
        <v/>
      </c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70">
        <f>IF($A9="","",COUNTIF($D9:$AH9,"P"))</f>
        <v/>
      </c>
      <c r="AJ9" s="70">
        <f>IF($A9="","",COUNTIF($D9:$AH9,"AA")+COUNTIF($D9:$AH9,"SA")+COUNTIF($D9:$AH9,"EA")+COUNTIF($D9:$AH9,"OR")+COUNTIF($D9:$AH9,"WO")+COUNTIF($D9:$AH9,"H"))</f>
        <v/>
      </c>
      <c r="AK9" s="70">
        <f>IF($A9="","",COUNTIF($D9:$AH9,"UA"))</f>
        <v/>
      </c>
      <c r="AL9" s="70">
        <f>IF($A9="","",COUNTIF($D9:$AH9,"SA"))</f>
        <v/>
      </c>
      <c r="AM9" s="70">
        <f>IF($A9="","",COUNTIF($D9:$AH9,"EA"))</f>
        <v/>
      </c>
      <c r="AN9" s="70">
        <f>IF($A9="","",COUNTIF($D9:$AH9,"OR"))</f>
        <v/>
      </c>
      <c r="AO9" s="70">
        <f>IF($A9="","",COUNTIF($D9:$AH9,"WO"))</f>
        <v/>
      </c>
      <c r="AP9" s="70">
        <f>IF($A9="","",COUNTIF($D9:$AH9,"H"))</f>
        <v/>
      </c>
      <c r="AQ9" s="77" t="n"/>
      <c r="AR9" s="77" t="n"/>
      <c r="AS9" s="90">
        <f>IF(OR($A9="",$I$2=0),"",AI9/$I$2)</f>
        <v/>
      </c>
      <c r="AT9" s="90">
        <f>IF(OR($A9="",$I$2=0),"",(AI9+AJ9)/$I$2)</f>
        <v/>
      </c>
      <c r="AU9" s="70">
        <f>IF($A9="","",IF(OR($AK9&gt;=2,AND($AK9&gt;0,$AQ9=""),AND($AK9&gt;0,$AR9="")),"CRITICAL",IF(OR($AK9=1,AND(($AJ9)&gt;0,$AQ9=""),AND(($AJ9)&gt;0,$AR9=""),$AT9&lt;0.95),"REVIEW","OK")))</f>
        <v/>
      </c>
      <c r="AV9" s="78" t="inlineStr">
        <is>
          <t>WO</t>
        </is>
      </c>
      <c r="AW9" s="74" t="inlineStr">
        <is>
          <t>Weekend Off / Approved Rest Day</t>
        </is>
      </c>
      <c r="AX9" s="63" t="inlineStr">
        <is>
          <t>Weekend Off</t>
        </is>
      </c>
    </row>
    <row r="10" ht="18" customHeight="1" s="57">
      <c r="A10" s="87">
        <f>IF('Employee Master'!A10="","",'Employee Master'!A10)</f>
        <v/>
      </c>
      <c r="B10" s="88">
        <f>IF($A10="","",'Employee Master'!B10)</f>
        <v/>
      </c>
      <c r="C10" s="87">
        <f>IF($A10="","",'Employee Master'!C10)</f>
        <v/>
      </c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121" t="inlineStr">
        <is>
          <t>UA</t>
        </is>
      </c>
      <c r="X10" s="121" t="inlineStr">
        <is>
          <t>UA</t>
        </is>
      </c>
      <c r="Y10" s="121" t="inlineStr">
        <is>
          <t>UA</t>
        </is>
      </c>
      <c r="Z10" s="121" t="inlineStr">
        <is>
          <t>UA</t>
        </is>
      </c>
      <c r="AA10" s="121" t="inlineStr">
        <is>
          <t>UA</t>
        </is>
      </c>
      <c r="AB10" s="121" t="inlineStr">
        <is>
          <t>UA</t>
        </is>
      </c>
      <c r="AC10" s="121" t="inlineStr">
        <is>
          <t>UA</t>
        </is>
      </c>
      <c r="AD10" s="121" t="inlineStr">
        <is>
          <t>UA</t>
        </is>
      </c>
      <c r="AE10" s="121" t="inlineStr">
        <is>
          <t>UA</t>
        </is>
      </c>
      <c r="AF10" s="121" t="inlineStr">
        <is>
          <t>UA</t>
        </is>
      </c>
      <c r="AG10" s="121" t="inlineStr">
        <is>
          <t>UA</t>
        </is>
      </c>
      <c r="AH10" s="121" t="inlineStr">
        <is>
          <t>UA</t>
        </is>
      </c>
      <c r="AI10" s="70">
        <f>IF($A10="","",COUNTIF($D10:$AH10,"P"))</f>
        <v/>
      </c>
      <c r="AJ10" s="70">
        <f>IF($A10="","",COUNTIF($D10:$AH10,"AA")+COUNTIF($D10:$AH10,"SA")+COUNTIF($D10:$AH10,"EA")+COUNTIF($D10:$AH10,"OR")+COUNTIF($D10:$AH10,"WO")+COUNTIF($D10:$AH10,"H"))</f>
        <v/>
      </c>
      <c r="AK10" s="70">
        <f>IF($A10="","",COUNTIF($D10:$AH10,"UA"))</f>
        <v/>
      </c>
      <c r="AL10" s="70">
        <f>IF($A10="","",COUNTIF($D10:$AH10,"SA"))</f>
        <v/>
      </c>
      <c r="AM10" s="70">
        <f>IF($A10="","",COUNTIF($D10:$AH10,"EA"))</f>
        <v/>
      </c>
      <c r="AN10" s="70">
        <f>IF($A10="","",COUNTIF($D10:$AH10,"OR"))</f>
        <v/>
      </c>
      <c r="AO10" s="70">
        <f>IF($A10="","",COUNTIF($D10:$AH10,"WO"))</f>
        <v/>
      </c>
      <c r="AP10" s="70">
        <f>IF($A10="","",COUNTIF($D10:$AH10,"H"))</f>
        <v/>
      </c>
      <c r="AQ10" s="77" t="n"/>
      <c r="AR10" s="77" t="n"/>
      <c r="AS10" s="90">
        <f>IF(OR($A10="",$I$2=0),"",AI10/$I$2)</f>
        <v/>
      </c>
      <c r="AT10" s="90">
        <f>IF(OR($A10="",$I$2=0),"",(AI10+AJ10)/$I$2)</f>
        <v/>
      </c>
      <c r="AU10" s="70">
        <f>IF($A10="","",IF(OR($AK10&gt;=2,AND($AK10&gt;0,$AQ10=""),AND($AK10&gt;0,$AR10="")),"CRITICAL",IF(OR($AK10=1,AND(($AJ10)&gt;0,$AQ10=""),AND(($AJ10)&gt;0,$AR10=""),$AT10&lt;0.95),"REVIEW","OK")))</f>
        <v/>
      </c>
      <c r="AV10" s="78" t="inlineStr">
        <is>
          <t>H</t>
        </is>
      </c>
      <c r="AW10" s="75" t="inlineStr">
        <is>
          <t>Holiday / Approved Leave</t>
        </is>
      </c>
      <c r="AX10" s="63" t="inlineStr">
        <is>
          <t>Holiday</t>
        </is>
      </c>
    </row>
    <row r="11" ht="18" customHeight="1" s="57">
      <c r="A11" s="87">
        <f>IF('Employee Master'!A11="","",'Employee Master'!A11)</f>
        <v/>
      </c>
      <c r="B11" s="88">
        <f>IF($A11="","",'Employee Master'!B11)</f>
        <v/>
      </c>
      <c r="C11" s="87">
        <f>IF($A11="","",'Employee Master'!C11)</f>
        <v/>
      </c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70">
        <f>IF($A11="","",COUNTIF($D11:$AH11,"P"))</f>
        <v/>
      </c>
      <c r="AJ11" s="70">
        <f>IF($A11="","",COUNTIF($D11:$AH11,"AA")+COUNTIF($D11:$AH11,"SA")+COUNTIF($D11:$AH11,"EA")+COUNTIF($D11:$AH11,"OR")+COUNTIF($D11:$AH11,"WO")+COUNTIF($D11:$AH11,"H"))</f>
        <v/>
      </c>
      <c r="AK11" s="70">
        <f>IF($A11="","",COUNTIF($D11:$AH11,"UA"))</f>
        <v/>
      </c>
      <c r="AL11" s="70">
        <f>IF($A11="","",COUNTIF($D11:$AH11,"SA"))</f>
        <v/>
      </c>
      <c r="AM11" s="70">
        <f>IF($A11="","",COUNTIF($D11:$AH11,"EA"))</f>
        <v/>
      </c>
      <c r="AN11" s="70">
        <f>IF($A11="","",COUNTIF($D11:$AH11,"OR"))</f>
        <v/>
      </c>
      <c r="AO11" s="70">
        <f>IF($A11="","",COUNTIF($D11:$AH11,"WO"))</f>
        <v/>
      </c>
      <c r="AP11" s="70">
        <f>IF($A11="","",COUNTIF($D11:$AH11,"H"))</f>
        <v/>
      </c>
      <c r="AQ11" s="77" t="n"/>
      <c r="AR11" s="77" t="n"/>
      <c r="AS11" s="90">
        <f>IF(OR($A11="",$I$2=0),"",AI11/$I$2)</f>
        <v/>
      </c>
      <c r="AT11" s="90">
        <f>IF(OR($A11="",$I$2=0),"",(AI11+AJ11)/$I$2)</f>
        <v/>
      </c>
      <c r="AU11" s="70">
        <f>IF($A11="","",IF(OR($AK11&gt;=2,AND($AK11&gt;0,$AQ11=""),AND($AK11&gt;0,$AR11="")),"CRITICAL",IF(OR($AK11=1,AND(($AJ11)&gt;0,$AQ11=""),AND(($AJ11)&gt;0,$AR11=""),$AT11&lt;0.95),"REVIEW","OK")))</f>
        <v/>
      </c>
    </row>
    <row r="12" ht="18" customHeight="1" s="57">
      <c r="A12" s="87">
        <f>IF('Employee Master'!A12="","",'Employee Master'!A12)</f>
        <v/>
      </c>
      <c r="B12" s="88">
        <f>IF($A12="","",'Employee Master'!B12)</f>
        <v/>
      </c>
      <c r="C12" s="87">
        <f>IF($A12="","",'Employee Master'!C12)</f>
        <v/>
      </c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121" t="inlineStr">
        <is>
          <t>UA</t>
        </is>
      </c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70">
        <f>IF($A12="","",COUNTIF($D12:$AH12,"P"))</f>
        <v/>
      </c>
      <c r="AJ12" s="70">
        <f>IF($A12="","",COUNTIF($D12:$AH12,"AA")+COUNTIF($D12:$AH12,"SA")+COUNTIF($D12:$AH12,"EA")+COUNTIF($D12:$AH12,"OR")+COUNTIF($D12:$AH12,"WO")+COUNTIF($D12:$AH12,"H"))</f>
        <v/>
      </c>
      <c r="AK12" s="70">
        <f>IF($A12="","",COUNTIF($D12:$AH12,"UA"))</f>
        <v/>
      </c>
      <c r="AL12" s="70">
        <f>IF($A12="","",COUNTIF($D12:$AH12,"SA"))</f>
        <v/>
      </c>
      <c r="AM12" s="70">
        <f>IF($A12="","",COUNTIF($D12:$AH12,"EA"))</f>
        <v/>
      </c>
      <c r="AN12" s="70">
        <f>IF($A12="","",COUNTIF($D12:$AH12,"OR"))</f>
        <v/>
      </c>
      <c r="AO12" s="70">
        <f>IF($A12="","",COUNTIF($D12:$AH12,"WO"))</f>
        <v/>
      </c>
      <c r="AP12" s="70">
        <f>IF($A12="","",COUNTIF($D12:$AH12,"H"))</f>
        <v/>
      </c>
      <c r="AQ12" s="77" t="n"/>
      <c r="AR12" s="77" t="n"/>
      <c r="AS12" s="90">
        <f>IF(OR($A12="",$I$2=0),"",AI12/$I$2)</f>
        <v/>
      </c>
      <c r="AT12" s="90">
        <f>IF(OR($A12="",$I$2=0),"",(AI12+AJ12)/$I$2)</f>
        <v/>
      </c>
      <c r="AU12" s="70">
        <f>IF($A12="","",IF(OR($AK12&gt;=2,AND($AK12&gt;0,$AQ12=""),AND($AK12&gt;0,$AR12="")),"CRITICAL",IF(OR($AK12=1,AND(($AJ12)&gt;0,$AQ12=""),AND(($AJ12)&gt;0,$AR12=""),$AT12&lt;0.95),"REVIEW","OK")))</f>
        <v/>
      </c>
    </row>
    <row r="13" ht="18" customHeight="1" s="57">
      <c r="A13" s="87">
        <f>IF('Employee Master'!A13="","",'Employee Master'!A13)</f>
        <v/>
      </c>
      <c r="B13" s="88">
        <f>IF($A13="","",'Employee Master'!B13)</f>
        <v/>
      </c>
      <c r="C13" s="87">
        <f>IF($A13="","",'Employee Master'!C13)</f>
        <v/>
      </c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70">
        <f>IF($A13="","",COUNTIF($D13:$AH13,"P"))</f>
        <v/>
      </c>
      <c r="AJ13" s="70">
        <f>IF($A13="","",COUNTIF($D13:$AH13,"AA")+COUNTIF($D13:$AH13,"SA")+COUNTIF($D13:$AH13,"EA")+COUNTIF($D13:$AH13,"OR")+COUNTIF($D13:$AH13,"WO")+COUNTIF($D13:$AH13,"H"))</f>
        <v/>
      </c>
      <c r="AK13" s="70">
        <f>IF($A13="","",COUNTIF($D13:$AH13,"UA"))</f>
        <v/>
      </c>
      <c r="AL13" s="70">
        <f>IF($A13="","",COUNTIF($D13:$AH13,"SA"))</f>
        <v/>
      </c>
      <c r="AM13" s="70">
        <f>IF($A13="","",COUNTIF($D13:$AH13,"EA"))</f>
        <v/>
      </c>
      <c r="AN13" s="70">
        <f>IF($A13="","",COUNTIF($D13:$AH13,"OR"))</f>
        <v/>
      </c>
      <c r="AO13" s="70">
        <f>IF($A13="","",COUNTIF($D13:$AH13,"WO"))</f>
        <v/>
      </c>
      <c r="AP13" s="70">
        <f>IF($A13="","",COUNTIF($D13:$AH13,"H"))</f>
        <v/>
      </c>
      <c r="AQ13" s="77" t="n"/>
      <c r="AR13" s="77" t="n"/>
      <c r="AS13" s="90">
        <f>IF(OR($A13="",$I$2=0),"",AI13/$I$2)</f>
        <v/>
      </c>
      <c r="AT13" s="90">
        <f>IF(OR($A13="",$I$2=0),"",(AI13+AJ13)/$I$2)</f>
        <v/>
      </c>
      <c r="AU13" s="70">
        <f>IF($A13="","",IF(OR($AK13&gt;=2,AND($AK13&gt;0,$AQ13=""),AND($AK13&gt;0,$AR13="")),"CRITICAL",IF(OR($AK13=1,AND(($AJ13)&gt;0,$AQ13=""),AND(($AJ13)&gt;0,$AR13=""),$AT13&lt;0.95),"REVIEW","OK")))</f>
        <v/>
      </c>
    </row>
    <row r="14" ht="18" customHeight="1" s="57">
      <c r="A14" s="87">
        <f>IF('Employee Master'!A14="","",'Employee Master'!A14)</f>
        <v/>
      </c>
      <c r="B14" s="88">
        <f>IF($A14="","",'Employee Master'!B14)</f>
        <v/>
      </c>
      <c r="C14" s="87">
        <f>IF($A14="","",'Employee Master'!C14)</f>
        <v/>
      </c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70">
        <f>IF($A14="","",COUNTIF($D14:$AH14,"P"))</f>
        <v/>
      </c>
      <c r="AJ14" s="70">
        <f>IF($A14="","",COUNTIF($D14:$AH14,"AA")+COUNTIF($D14:$AH14,"SA")+COUNTIF($D14:$AH14,"EA")+COUNTIF($D14:$AH14,"OR")+COUNTIF($D14:$AH14,"WO")+COUNTIF($D14:$AH14,"H"))</f>
        <v/>
      </c>
      <c r="AK14" s="70">
        <f>IF($A14="","",COUNTIF($D14:$AH14,"UA"))</f>
        <v/>
      </c>
      <c r="AL14" s="70">
        <f>IF($A14="","",COUNTIF($D14:$AH14,"SA"))</f>
        <v/>
      </c>
      <c r="AM14" s="70">
        <f>IF($A14="","",COUNTIF($D14:$AH14,"EA"))</f>
        <v/>
      </c>
      <c r="AN14" s="70">
        <f>IF($A14="","",COUNTIF($D14:$AH14,"OR"))</f>
        <v/>
      </c>
      <c r="AO14" s="70">
        <f>IF($A14="","",COUNTIF($D14:$AH14,"WO"))</f>
        <v/>
      </c>
      <c r="AP14" s="70">
        <f>IF($A14="","",COUNTIF($D14:$AH14,"H"))</f>
        <v/>
      </c>
      <c r="AQ14" s="77" t="n"/>
      <c r="AR14" s="77" t="n"/>
      <c r="AS14" s="90">
        <f>IF(OR($A14="",$I$2=0),"",AI14/$I$2)</f>
        <v/>
      </c>
      <c r="AT14" s="90">
        <f>IF(OR($A14="",$I$2=0),"",(AI14+AJ14)/$I$2)</f>
        <v/>
      </c>
      <c r="AU14" s="70">
        <f>IF($A14="","",IF(OR($AK14&gt;=2,AND($AK14&gt;0,$AQ14=""),AND($AK14&gt;0,$AR14="")),"CRITICAL",IF(OR($AK14=1,AND(($AJ14)&gt;0,$AQ14=""),AND(($AJ14)&gt;0,$AR14=""),$AT14&lt;0.95),"REVIEW","OK")))</f>
        <v/>
      </c>
    </row>
    <row r="15" ht="18" customHeight="1" s="57">
      <c r="A15" s="87">
        <f>IF('Employee Master'!A15="","",'Employee Master'!A15)</f>
        <v/>
      </c>
      <c r="B15" s="88">
        <f>IF($A15="","",'Employee Master'!B15)</f>
        <v/>
      </c>
      <c r="C15" s="87">
        <f>IF($A15="","",'Employee Master'!C15)</f>
        <v/>
      </c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70">
        <f>IF($A15="","",COUNTIF($D15:$AH15,"P"))</f>
        <v/>
      </c>
      <c r="AJ15" s="70">
        <f>IF($A15="","",COUNTIF($D15:$AH15,"AA")+COUNTIF($D15:$AH15,"SA")+COUNTIF($D15:$AH15,"EA")+COUNTIF($D15:$AH15,"OR")+COUNTIF($D15:$AH15,"WO")+COUNTIF($D15:$AH15,"H"))</f>
        <v/>
      </c>
      <c r="AK15" s="70">
        <f>IF($A15="","",COUNTIF($D15:$AH15,"UA"))</f>
        <v/>
      </c>
      <c r="AL15" s="70">
        <f>IF($A15="","",COUNTIF($D15:$AH15,"SA"))</f>
        <v/>
      </c>
      <c r="AM15" s="70">
        <f>IF($A15="","",COUNTIF($D15:$AH15,"EA"))</f>
        <v/>
      </c>
      <c r="AN15" s="70">
        <f>IF($A15="","",COUNTIF($D15:$AH15,"OR"))</f>
        <v/>
      </c>
      <c r="AO15" s="70">
        <f>IF($A15="","",COUNTIF($D15:$AH15,"WO"))</f>
        <v/>
      </c>
      <c r="AP15" s="70">
        <f>IF($A15="","",COUNTIF($D15:$AH15,"H"))</f>
        <v/>
      </c>
      <c r="AQ15" s="77" t="n"/>
      <c r="AR15" s="77" t="n"/>
      <c r="AS15" s="90">
        <f>IF(OR($A15="",$I$2=0),"",AI15/$I$2)</f>
        <v/>
      </c>
      <c r="AT15" s="90">
        <f>IF(OR($A15="",$I$2=0),"",(AI15+AJ15)/$I$2)</f>
        <v/>
      </c>
      <c r="AU15" s="70">
        <f>IF($A15="","",IF(OR($AK15&gt;=2,AND($AK15&gt;0,$AQ15=""),AND($AK15&gt;0,$AR15="")),"CRITICAL",IF(OR($AK15=1,AND(($AJ15)&gt;0,$AQ15=""),AND(($AJ15)&gt;0,$AR15=""),$AT15&lt;0.95),"REVIEW","OK")))</f>
        <v/>
      </c>
    </row>
    <row r="16" ht="18" customHeight="1" s="57">
      <c r="A16" s="87">
        <f>IF('Employee Master'!A16="","",'Employee Master'!A16)</f>
        <v/>
      </c>
      <c r="B16" s="88">
        <f>IF($A16="","",'Employee Master'!B16)</f>
        <v/>
      </c>
      <c r="C16" s="87">
        <f>IF($A16="","",'Employee Master'!C16)</f>
        <v/>
      </c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70">
        <f>IF($A16="","",COUNTIF($D16:$AH16,"P"))</f>
        <v/>
      </c>
      <c r="AJ16" s="70">
        <f>IF($A16="","",COUNTIF($D16:$AH16,"AA")+COUNTIF($D16:$AH16,"SA")+COUNTIF($D16:$AH16,"EA")+COUNTIF($D16:$AH16,"OR")+COUNTIF($D16:$AH16,"WO")+COUNTIF($D16:$AH16,"H"))</f>
        <v/>
      </c>
      <c r="AK16" s="70">
        <f>IF($A16="","",COUNTIF($D16:$AH16,"UA"))</f>
        <v/>
      </c>
      <c r="AL16" s="70">
        <f>IF($A16="","",COUNTIF($D16:$AH16,"SA"))</f>
        <v/>
      </c>
      <c r="AM16" s="70">
        <f>IF($A16="","",COUNTIF($D16:$AH16,"EA"))</f>
        <v/>
      </c>
      <c r="AN16" s="70">
        <f>IF($A16="","",COUNTIF($D16:$AH16,"OR"))</f>
        <v/>
      </c>
      <c r="AO16" s="70">
        <f>IF($A16="","",COUNTIF($D16:$AH16,"WO"))</f>
        <v/>
      </c>
      <c r="AP16" s="70">
        <f>IF($A16="","",COUNTIF($D16:$AH16,"H"))</f>
        <v/>
      </c>
      <c r="AQ16" s="77" t="n"/>
      <c r="AR16" s="77" t="n"/>
      <c r="AS16" s="90">
        <f>IF(OR($A16="",$I$2=0),"",AI16/$I$2)</f>
        <v/>
      </c>
      <c r="AT16" s="90">
        <f>IF(OR($A16="",$I$2=0),"",(AI16+AJ16)/$I$2)</f>
        <v/>
      </c>
      <c r="AU16" s="70">
        <f>IF($A16="","",IF(OR($AK16&gt;=2,AND($AK16&gt;0,$AQ16=""),AND($AK16&gt;0,$AR16="")),"CRITICAL",IF(OR($AK16=1,AND(($AJ16)&gt;0,$AQ16=""),AND(($AJ16)&gt;0,$AR16=""),$AT16&lt;0.95),"REVIEW","OK")))</f>
        <v/>
      </c>
    </row>
    <row r="17" ht="18" customHeight="1" s="57">
      <c r="A17" s="87">
        <f>IF('Employee Master'!A17="","",'Employee Master'!A17)</f>
        <v/>
      </c>
      <c r="B17" s="88">
        <f>IF($A17="","",'Employee Master'!B17)</f>
        <v/>
      </c>
      <c r="C17" s="87">
        <f>IF($A17="","",'Employee Master'!C17)</f>
        <v/>
      </c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70">
        <f>IF($A17="","",COUNTIF($D17:$AH17,"P"))</f>
        <v/>
      </c>
      <c r="AJ17" s="70">
        <f>IF($A17="","",COUNTIF($D17:$AH17,"AA")+COUNTIF($D17:$AH17,"SA")+COUNTIF($D17:$AH17,"EA")+COUNTIF($D17:$AH17,"OR")+COUNTIF($D17:$AH17,"WO")+COUNTIF($D17:$AH17,"H"))</f>
        <v/>
      </c>
      <c r="AK17" s="70">
        <f>IF($A17="","",COUNTIF($D17:$AH17,"UA"))</f>
        <v/>
      </c>
      <c r="AL17" s="70">
        <f>IF($A17="","",COUNTIF($D17:$AH17,"SA"))</f>
        <v/>
      </c>
      <c r="AM17" s="70">
        <f>IF($A17="","",COUNTIF($D17:$AH17,"EA"))</f>
        <v/>
      </c>
      <c r="AN17" s="70">
        <f>IF($A17="","",COUNTIF($D17:$AH17,"OR"))</f>
        <v/>
      </c>
      <c r="AO17" s="70">
        <f>IF($A17="","",COUNTIF($D17:$AH17,"WO"))</f>
        <v/>
      </c>
      <c r="AP17" s="70">
        <f>IF($A17="","",COUNTIF($D17:$AH17,"H"))</f>
        <v/>
      </c>
      <c r="AQ17" s="77" t="n"/>
      <c r="AR17" s="77" t="n"/>
      <c r="AS17" s="90">
        <f>IF(OR($A17="",$I$2=0),"",AI17/$I$2)</f>
        <v/>
      </c>
      <c r="AT17" s="90">
        <f>IF(OR($A17="",$I$2=0),"",(AI17+AJ17)/$I$2)</f>
        <v/>
      </c>
      <c r="AU17" s="70">
        <f>IF($A17="","",IF(OR($AK17&gt;=2,AND($AK17&gt;0,$AQ17=""),AND($AK17&gt;0,$AR17="")),"CRITICAL",IF(OR($AK17=1,AND(($AJ17)&gt;0,$AQ17=""),AND(($AJ17)&gt;0,$AR17=""),$AT17&lt;0.95),"REVIEW","OK")))</f>
        <v/>
      </c>
    </row>
    <row r="18" ht="18" customHeight="1" s="57">
      <c r="A18" s="87">
        <f>IF('Employee Master'!A18="","",'Employee Master'!A18)</f>
        <v/>
      </c>
      <c r="B18" s="88">
        <f>IF($A18="","",'Employee Master'!B18)</f>
        <v/>
      </c>
      <c r="C18" s="87">
        <f>IF($A18="","",'Employee Master'!C18)</f>
        <v/>
      </c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70">
        <f>IF($A18="","",COUNTIF($D18:$AH18,"P"))</f>
        <v/>
      </c>
      <c r="AJ18" s="70">
        <f>IF($A18="","",COUNTIF($D18:$AH18,"AA")+COUNTIF($D18:$AH18,"SA")+COUNTIF($D18:$AH18,"EA")+COUNTIF($D18:$AH18,"OR")+COUNTIF($D18:$AH18,"WO")+COUNTIF($D18:$AH18,"H"))</f>
        <v/>
      </c>
      <c r="AK18" s="70">
        <f>IF($A18="","",COUNTIF($D18:$AH18,"UA"))</f>
        <v/>
      </c>
      <c r="AL18" s="70">
        <f>IF($A18="","",COUNTIF($D18:$AH18,"SA"))</f>
        <v/>
      </c>
      <c r="AM18" s="70">
        <f>IF($A18="","",COUNTIF($D18:$AH18,"EA"))</f>
        <v/>
      </c>
      <c r="AN18" s="70">
        <f>IF($A18="","",COUNTIF($D18:$AH18,"OR"))</f>
        <v/>
      </c>
      <c r="AO18" s="70">
        <f>IF($A18="","",COUNTIF($D18:$AH18,"WO"))</f>
        <v/>
      </c>
      <c r="AP18" s="70">
        <f>IF($A18="","",COUNTIF($D18:$AH18,"H"))</f>
        <v/>
      </c>
      <c r="AQ18" s="77" t="n"/>
      <c r="AR18" s="77" t="n"/>
      <c r="AS18" s="90">
        <f>IF(OR($A18="",$I$2=0),"",AI18/$I$2)</f>
        <v/>
      </c>
      <c r="AT18" s="90">
        <f>IF(OR($A18="",$I$2=0),"",(AI18+AJ18)/$I$2)</f>
        <v/>
      </c>
      <c r="AU18" s="70">
        <f>IF($A18="","",IF(OR($AK18&gt;=2,AND($AK18&gt;0,$AQ18=""),AND($AK18&gt;0,$AR18="")),"CRITICAL",IF(OR($AK18=1,AND(($AJ18)&gt;0,$AQ18=""),AND(($AJ18)&gt;0,$AR18=""),$AT18&lt;0.95),"REVIEW","OK")))</f>
        <v/>
      </c>
    </row>
    <row r="19" ht="18" customHeight="1" s="57">
      <c r="A19" s="87">
        <f>IF('Employee Master'!A19="","",'Employee Master'!A19)</f>
        <v/>
      </c>
      <c r="B19" s="88">
        <f>IF($A19="","",'Employee Master'!B19)</f>
        <v/>
      </c>
      <c r="C19" s="87">
        <f>IF($A19="","",'Employee Master'!C19)</f>
        <v/>
      </c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70">
        <f>IF($A19="","",COUNTIF($D19:$AH19,"P"))</f>
        <v/>
      </c>
      <c r="AJ19" s="70">
        <f>IF($A19="","",COUNTIF($D19:$AH19,"AA")+COUNTIF($D19:$AH19,"SA")+COUNTIF($D19:$AH19,"EA")+COUNTIF($D19:$AH19,"OR")+COUNTIF($D19:$AH19,"WO")+COUNTIF($D19:$AH19,"H"))</f>
        <v/>
      </c>
      <c r="AK19" s="70">
        <f>IF($A19="","",COUNTIF($D19:$AH19,"UA"))</f>
        <v/>
      </c>
      <c r="AL19" s="70">
        <f>IF($A19="","",COUNTIF($D19:$AH19,"SA"))</f>
        <v/>
      </c>
      <c r="AM19" s="70">
        <f>IF($A19="","",COUNTIF($D19:$AH19,"EA"))</f>
        <v/>
      </c>
      <c r="AN19" s="70">
        <f>IF($A19="","",COUNTIF($D19:$AH19,"OR"))</f>
        <v/>
      </c>
      <c r="AO19" s="70">
        <f>IF($A19="","",COUNTIF($D19:$AH19,"WO"))</f>
        <v/>
      </c>
      <c r="AP19" s="70">
        <f>IF($A19="","",COUNTIF($D19:$AH19,"H"))</f>
        <v/>
      </c>
      <c r="AQ19" s="77" t="n"/>
      <c r="AR19" s="77" t="n"/>
      <c r="AS19" s="90">
        <f>IF(OR($A19="",$I$2=0),"",AI19/$I$2)</f>
        <v/>
      </c>
      <c r="AT19" s="90">
        <f>IF(OR($A19="",$I$2=0),"",(AI19+AJ19)/$I$2)</f>
        <v/>
      </c>
      <c r="AU19" s="70">
        <f>IF($A19="","",IF(OR($AK19&gt;=2,AND($AK19&gt;0,$AQ19=""),AND($AK19&gt;0,$AR19="")),"CRITICAL",IF(OR($AK19=1,AND(($AJ19)&gt;0,$AQ19=""),AND(($AJ19)&gt;0,$AR19=""),$AT19&lt;0.95),"REVIEW","OK")))</f>
        <v/>
      </c>
    </row>
    <row r="20" ht="18" customHeight="1" s="57">
      <c r="A20" s="87">
        <f>IF('Employee Master'!A20="","",'Employee Master'!A20)</f>
        <v/>
      </c>
      <c r="B20" s="88">
        <f>IF($A20="","",'Employee Master'!B20)</f>
        <v/>
      </c>
      <c r="C20" s="87">
        <f>IF($A20="","",'Employee Master'!C20)</f>
        <v/>
      </c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70">
        <f>IF($A20="","",COUNTIF($D20:$AH20,"P"))</f>
        <v/>
      </c>
      <c r="AJ20" s="70">
        <f>IF($A20="","",COUNTIF($D20:$AH20,"AA")+COUNTIF($D20:$AH20,"SA")+COUNTIF($D20:$AH20,"EA")+COUNTIF($D20:$AH20,"OR")+COUNTIF($D20:$AH20,"WO")+COUNTIF($D20:$AH20,"H"))</f>
        <v/>
      </c>
      <c r="AK20" s="70">
        <f>IF($A20="","",COUNTIF($D20:$AH20,"UA"))</f>
        <v/>
      </c>
      <c r="AL20" s="70">
        <f>IF($A20="","",COUNTIF($D20:$AH20,"SA"))</f>
        <v/>
      </c>
      <c r="AM20" s="70">
        <f>IF($A20="","",COUNTIF($D20:$AH20,"EA"))</f>
        <v/>
      </c>
      <c r="AN20" s="70">
        <f>IF($A20="","",COUNTIF($D20:$AH20,"OR"))</f>
        <v/>
      </c>
      <c r="AO20" s="70">
        <f>IF($A20="","",COUNTIF($D20:$AH20,"WO"))</f>
        <v/>
      </c>
      <c r="AP20" s="70">
        <f>IF($A20="","",COUNTIF($D20:$AH20,"H"))</f>
        <v/>
      </c>
      <c r="AQ20" s="77" t="n"/>
      <c r="AR20" s="77" t="n"/>
      <c r="AS20" s="90">
        <f>IF(OR($A20="",$I$2=0),"",AI20/$I$2)</f>
        <v/>
      </c>
      <c r="AT20" s="90">
        <f>IF(OR($A20="",$I$2=0),"",(AI20+AJ20)/$I$2)</f>
        <v/>
      </c>
      <c r="AU20" s="70">
        <f>IF($A20="","",IF(OR($AK20&gt;=2,AND($AK20&gt;0,$AQ20=""),AND($AK20&gt;0,$AR20="")),"CRITICAL",IF(OR($AK20=1,AND(($AJ20)&gt;0,$AQ20=""),AND(($AJ20)&gt;0,$AR20=""),$AT20&lt;0.95),"REVIEW","OK")))</f>
        <v/>
      </c>
    </row>
    <row r="21" ht="18" customHeight="1" s="57">
      <c r="A21" s="87">
        <f>IF('Employee Master'!A21="","",'Employee Master'!A21)</f>
        <v/>
      </c>
      <c r="B21" s="88">
        <f>IF($A21="","",'Employee Master'!B21)</f>
        <v/>
      </c>
      <c r="C21" s="87">
        <f>IF($A21="","",'Employee Master'!C21)</f>
        <v/>
      </c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70">
        <f>IF($A21="","",COUNTIF($D21:$AH21,"P"))</f>
        <v/>
      </c>
      <c r="AJ21" s="70">
        <f>IF($A21="","",COUNTIF($D21:$AH21,"AA")+COUNTIF($D21:$AH21,"SA")+COUNTIF($D21:$AH21,"EA")+COUNTIF($D21:$AH21,"OR")+COUNTIF($D21:$AH21,"WO")+COUNTIF($D21:$AH21,"H"))</f>
        <v/>
      </c>
      <c r="AK21" s="70">
        <f>IF($A21="","",COUNTIF($D21:$AH21,"UA"))</f>
        <v/>
      </c>
      <c r="AL21" s="70">
        <f>IF($A21="","",COUNTIF($D21:$AH21,"SA"))</f>
        <v/>
      </c>
      <c r="AM21" s="70">
        <f>IF($A21="","",COUNTIF($D21:$AH21,"EA"))</f>
        <v/>
      </c>
      <c r="AN21" s="70">
        <f>IF($A21="","",COUNTIF($D21:$AH21,"OR"))</f>
        <v/>
      </c>
      <c r="AO21" s="70">
        <f>IF($A21="","",COUNTIF($D21:$AH21,"WO"))</f>
        <v/>
      </c>
      <c r="AP21" s="70">
        <f>IF($A21="","",COUNTIF($D21:$AH21,"H"))</f>
        <v/>
      </c>
      <c r="AQ21" s="77" t="n"/>
      <c r="AR21" s="77" t="n"/>
      <c r="AS21" s="90">
        <f>IF(OR($A21="",$I$2=0),"",AI21/$I$2)</f>
        <v/>
      </c>
      <c r="AT21" s="90">
        <f>IF(OR($A21="",$I$2=0),"",(AI21+AJ21)/$I$2)</f>
        <v/>
      </c>
      <c r="AU21" s="70">
        <f>IF($A21="","",IF(OR($AK21&gt;=2,AND($AK21&gt;0,$AQ21=""),AND($AK21&gt;0,$AR21="")),"CRITICAL",IF(OR($AK21=1,AND(($AJ21)&gt;0,$AQ21=""),AND(($AJ21)&gt;0,$AR21=""),$AT21&lt;0.95),"REVIEW","OK")))</f>
        <v/>
      </c>
    </row>
    <row r="22" ht="18" customHeight="1" s="57">
      <c r="A22" s="87">
        <f>IF('Employee Master'!A22="","",'Employee Master'!A22)</f>
        <v/>
      </c>
      <c r="B22" s="88">
        <f>IF($A22="","",'Employee Master'!B22)</f>
        <v/>
      </c>
      <c r="C22" s="87">
        <f>IF($A22="","",'Employee Master'!C22)</f>
        <v/>
      </c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121" t="inlineStr">
        <is>
          <t>UA</t>
        </is>
      </c>
      <c r="AF22" s="121" t="inlineStr">
        <is>
          <t>UA</t>
        </is>
      </c>
      <c r="AG22" s="121" t="inlineStr">
        <is>
          <t>UA</t>
        </is>
      </c>
      <c r="AH22" s="121" t="inlineStr">
        <is>
          <t>UA</t>
        </is>
      </c>
      <c r="AI22" s="70">
        <f>IF($A22="","",COUNTIF($D22:$AH22,"P"))</f>
        <v/>
      </c>
      <c r="AJ22" s="70">
        <f>IF($A22="","",COUNTIF($D22:$AH22,"AA")+COUNTIF($D22:$AH22,"SA")+COUNTIF($D22:$AH22,"EA")+COUNTIF($D22:$AH22,"OR")+COUNTIF($D22:$AH22,"WO")+COUNTIF($D22:$AH22,"H"))</f>
        <v/>
      </c>
      <c r="AK22" s="70">
        <f>IF($A22="","",COUNTIF($D22:$AH22,"UA"))</f>
        <v/>
      </c>
      <c r="AL22" s="70">
        <f>IF($A22="","",COUNTIF($D22:$AH22,"SA"))</f>
        <v/>
      </c>
      <c r="AM22" s="70">
        <f>IF($A22="","",COUNTIF($D22:$AH22,"EA"))</f>
        <v/>
      </c>
      <c r="AN22" s="70">
        <f>IF($A22="","",COUNTIF($D22:$AH22,"OR"))</f>
        <v/>
      </c>
      <c r="AO22" s="70">
        <f>IF($A22="","",COUNTIF($D22:$AH22,"WO"))</f>
        <v/>
      </c>
      <c r="AP22" s="70">
        <f>IF($A22="","",COUNTIF($D22:$AH22,"H"))</f>
        <v/>
      </c>
      <c r="AQ22" s="77" t="n"/>
      <c r="AR22" s="77" t="n"/>
      <c r="AS22" s="90">
        <f>IF(OR($A22="",$I$2=0),"",AI22/$I$2)</f>
        <v/>
      </c>
      <c r="AT22" s="90">
        <f>IF(OR($A22="",$I$2=0),"",(AI22+AJ22)/$I$2)</f>
        <v/>
      </c>
      <c r="AU22" s="70">
        <f>IF($A22="","",IF(OR($AK22&gt;=2,AND($AK22&gt;0,$AQ22=""),AND($AK22&gt;0,$AR22="")),"CRITICAL",IF(OR($AK22=1,AND(($AJ22)&gt;0,$AQ22=""),AND(($AJ22)&gt;0,$AR22=""),$AT22&lt;0.95),"REVIEW","OK")))</f>
        <v/>
      </c>
    </row>
    <row r="23" ht="18" customHeight="1" s="57">
      <c r="A23" s="87">
        <f>IF('Employee Master'!A23="","",'Employee Master'!A23)</f>
        <v/>
      </c>
      <c r="B23" s="88">
        <f>IF($A23="","",'Employee Master'!B23)</f>
        <v/>
      </c>
      <c r="C23" s="87">
        <f>IF($A23="","",'Employee Master'!C23)</f>
        <v/>
      </c>
      <c r="D23" s="8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121" t="inlineStr">
        <is>
          <t>UA</t>
        </is>
      </c>
      <c r="AG23" s="89" t="n"/>
      <c r="AH23" s="89" t="n"/>
      <c r="AI23" s="70">
        <f>IF($A23="","",COUNTIF($D23:$AH23,"P"))</f>
        <v/>
      </c>
      <c r="AJ23" s="70">
        <f>IF($A23="","",COUNTIF($D23:$AH23,"AA")+COUNTIF($D23:$AH23,"SA")+COUNTIF($D23:$AH23,"EA")+COUNTIF($D23:$AH23,"OR")+COUNTIF($D23:$AH23,"WO")+COUNTIF($D23:$AH23,"H"))</f>
        <v/>
      </c>
      <c r="AK23" s="70">
        <f>IF($A23="","",COUNTIF($D23:$AH23,"UA"))</f>
        <v/>
      </c>
      <c r="AL23" s="70">
        <f>IF($A23="","",COUNTIF($D23:$AH23,"SA"))</f>
        <v/>
      </c>
      <c r="AM23" s="70">
        <f>IF($A23="","",COUNTIF($D23:$AH23,"EA"))</f>
        <v/>
      </c>
      <c r="AN23" s="70">
        <f>IF($A23="","",COUNTIF($D23:$AH23,"OR"))</f>
        <v/>
      </c>
      <c r="AO23" s="70">
        <f>IF($A23="","",COUNTIF($D23:$AH23,"WO"))</f>
        <v/>
      </c>
      <c r="AP23" s="70">
        <f>IF($A23="","",COUNTIF($D23:$AH23,"H"))</f>
        <v/>
      </c>
      <c r="AQ23" s="77" t="n"/>
      <c r="AR23" s="77" t="n"/>
      <c r="AS23" s="90">
        <f>IF(OR($A23="",$I$2=0),"",AI23/$I$2)</f>
        <v/>
      </c>
      <c r="AT23" s="90">
        <f>IF(OR($A23="",$I$2=0),"",(AI23+AJ23)/$I$2)</f>
        <v/>
      </c>
      <c r="AU23" s="70">
        <f>IF($A23="","",IF(OR($AK23&gt;=2,AND($AK23&gt;0,$AQ23=""),AND($AK23&gt;0,$AR23="")),"CRITICAL",IF(OR($AK23=1,AND(($AJ23)&gt;0,$AQ23=""),AND(($AJ23)&gt;0,$AR23=""),$AT23&lt;0.95),"REVIEW","OK")))</f>
        <v/>
      </c>
    </row>
    <row r="24" ht="18" customHeight="1" s="57">
      <c r="A24" s="87">
        <f>IF('Employee Master'!A24="","",'Employee Master'!A24)</f>
        <v/>
      </c>
      <c r="B24" s="88">
        <f>IF($A24="","",'Employee Master'!B24)</f>
        <v/>
      </c>
      <c r="C24" s="87">
        <f>IF($A24="","",'Employee Master'!C24)</f>
        <v/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  <c r="AC24" s="89" t="n"/>
      <c r="AD24" s="89" t="n"/>
      <c r="AE24" s="89" t="n"/>
      <c r="AF24" s="89" t="n"/>
      <c r="AG24" s="89" t="n"/>
      <c r="AH24" s="89" t="n"/>
      <c r="AI24" s="70">
        <f>IF($A24="","",COUNTIF($D24:$AH24,"P"))</f>
        <v/>
      </c>
      <c r="AJ24" s="70">
        <f>IF($A24="","",COUNTIF($D24:$AH24,"AA")+COUNTIF($D24:$AH24,"SA")+COUNTIF($D24:$AH24,"EA")+COUNTIF($D24:$AH24,"OR")+COUNTIF($D24:$AH24,"WO")+COUNTIF($D24:$AH24,"H"))</f>
        <v/>
      </c>
      <c r="AK24" s="70">
        <f>IF($A24="","",COUNTIF($D24:$AH24,"UA"))</f>
        <v/>
      </c>
      <c r="AL24" s="70">
        <f>IF($A24="","",COUNTIF($D24:$AH24,"SA"))</f>
        <v/>
      </c>
      <c r="AM24" s="70">
        <f>IF($A24="","",COUNTIF($D24:$AH24,"EA"))</f>
        <v/>
      </c>
      <c r="AN24" s="70">
        <f>IF($A24="","",COUNTIF($D24:$AH24,"OR"))</f>
        <v/>
      </c>
      <c r="AO24" s="70">
        <f>IF($A24="","",COUNTIF($D24:$AH24,"WO"))</f>
        <v/>
      </c>
      <c r="AP24" s="70">
        <f>IF($A24="","",COUNTIF($D24:$AH24,"H"))</f>
        <v/>
      </c>
      <c r="AQ24" s="77" t="n"/>
      <c r="AR24" s="77" t="n"/>
      <c r="AS24" s="90">
        <f>IF(OR($A24="",$I$2=0),"",AI24/$I$2)</f>
        <v/>
      </c>
      <c r="AT24" s="90">
        <f>IF(OR($A24="",$I$2=0),"",(AI24+AJ24)/$I$2)</f>
        <v/>
      </c>
      <c r="AU24" s="70">
        <f>IF($A24="","",IF(OR($AK24&gt;=2,AND($AK24&gt;0,$AQ24=""),AND($AK24&gt;0,$AR24="")),"CRITICAL",IF(OR($AK24=1,AND(($AJ24)&gt;0,$AQ24=""),AND(($AJ24)&gt;0,$AR24=""),$AT24&lt;0.95),"REVIEW","OK")))</f>
        <v/>
      </c>
    </row>
    <row r="25" ht="18" customHeight="1" s="57">
      <c r="A25" s="87">
        <f>IF('Employee Master'!A25="","",'Employee Master'!A25)</f>
        <v/>
      </c>
      <c r="B25" s="88">
        <f>IF($A25="","",'Employee Master'!B25)</f>
        <v/>
      </c>
      <c r="C25" s="87">
        <f>IF($A25="","",'Employee Master'!C25)</f>
        <v/>
      </c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  <c r="AC25" s="89" t="n"/>
      <c r="AD25" s="89" t="n"/>
      <c r="AE25" s="89" t="n"/>
      <c r="AF25" s="89" t="n"/>
      <c r="AG25" s="89" t="n"/>
      <c r="AH25" s="89" t="n"/>
      <c r="AI25" s="70">
        <f>IF($A25="","",COUNTIF($D25:$AH25,"P"))</f>
        <v/>
      </c>
      <c r="AJ25" s="70">
        <f>IF($A25="","",COUNTIF($D25:$AH25,"AA")+COUNTIF($D25:$AH25,"SA")+COUNTIF($D25:$AH25,"EA")+COUNTIF($D25:$AH25,"OR")+COUNTIF($D25:$AH25,"WO")+COUNTIF($D25:$AH25,"H"))</f>
        <v/>
      </c>
      <c r="AK25" s="70">
        <f>IF($A25="","",COUNTIF($D25:$AH25,"UA"))</f>
        <v/>
      </c>
      <c r="AL25" s="70">
        <f>IF($A25="","",COUNTIF($D25:$AH25,"SA"))</f>
        <v/>
      </c>
      <c r="AM25" s="70">
        <f>IF($A25="","",COUNTIF($D25:$AH25,"EA"))</f>
        <v/>
      </c>
      <c r="AN25" s="70">
        <f>IF($A25="","",COUNTIF($D25:$AH25,"OR"))</f>
        <v/>
      </c>
      <c r="AO25" s="70">
        <f>IF($A25="","",COUNTIF($D25:$AH25,"WO"))</f>
        <v/>
      </c>
      <c r="AP25" s="70">
        <f>IF($A25="","",COUNTIF($D25:$AH25,"H"))</f>
        <v/>
      </c>
      <c r="AQ25" s="77" t="n"/>
      <c r="AR25" s="77" t="n"/>
      <c r="AS25" s="90">
        <f>IF(OR($A25="",$I$2=0),"",AI25/$I$2)</f>
        <v/>
      </c>
      <c r="AT25" s="90">
        <f>IF(OR($A25="",$I$2=0),"",(AI25+AJ25)/$I$2)</f>
        <v/>
      </c>
      <c r="AU25" s="70">
        <f>IF($A25="","",IF(OR($AK25&gt;=2,AND($AK25&gt;0,$AQ25=""),AND($AK25&gt;0,$AR25="")),"CRITICAL",IF(OR($AK25=1,AND(($AJ25)&gt;0,$AQ25=""),AND(($AJ25)&gt;0,$AR25=""),$AT25&lt;0.95),"REVIEW","OK")))</f>
        <v/>
      </c>
    </row>
    <row r="26" ht="18" customHeight="1" s="57">
      <c r="A26" s="87">
        <f>IF('Employee Master'!A26="","",'Employee Master'!A26)</f>
        <v/>
      </c>
      <c r="B26" s="88">
        <f>IF($A26="","",'Employee Master'!B26)</f>
        <v/>
      </c>
      <c r="C26" s="87">
        <f>IF($A26="","",'Employee Master'!C26)</f>
        <v/>
      </c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  <c r="AC26" s="89" t="n"/>
      <c r="AD26" s="89" t="n"/>
      <c r="AE26" s="89" t="n"/>
      <c r="AF26" s="89" t="n"/>
      <c r="AG26" s="89" t="n"/>
      <c r="AH26" s="89" t="n"/>
      <c r="AI26" s="70">
        <f>IF($A26="","",COUNTIF($D26:$AH26,"P"))</f>
        <v/>
      </c>
      <c r="AJ26" s="70">
        <f>IF($A26="","",COUNTIF($D26:$AH26,"AA")+COUNTIF($D26:$AH26,"SA")+COUNTIF($D26:$AH26,"EA")+COUNTIF($D26:$AH26,"OR")+COUNTIF($D26:$AH26,"WO")+COUNTIF($D26:$AH26,"H"))</f>
        <v/>
      </c>
      <c r="AK26" s="70">
        <f>IF($A26="","",COUNTIF($D26:$AH26,"UA"))</f>
        <v/>
      </c>
      <c r="AL26" s="70">
        <f>IF($A26="","",COUNTIF($D26:$AH26,"SA"))</f>
        <v/>
      </c>
      <c r="AM26" s="70">
        <f>IF($A26="","",COUNTIF($D26:$AH26,"EA"))</f>
        <v/>
      </c>
      <c r="AN26" s="70">
        <f>IF($A26="","",COUNTIF($D26:$AH26,"OR"))</f>
        <v/>
      </c>
      <c r="AO26" s="70">
        <f>IF($A26="","",COUNTIF($D26:$AH26,"WO"))</f>
        <v/>
      </c>
      <c r="AP26" s="70">
        <f>IF($A26="","",COUNTIF($D26:$AH26,"H"))</f>
        <v/>
      </c>
      <c r="AQ26" s="77" t="n"/>
      <c r="AR26" s="77" t="n"/>
      <c r="AS26" s="90">
        <f>IF(OR($A26="",$I$2=0),"",AI26/$I$2)</f>
        <v/>
      </c>
      <c r="AT26" s="90">
        <f>IF(OR($A26="",$I$2=0),"",(AI26+AJ26)/$I$2)</f>
        <v/>
      </c>
      <c r="AU26" s="70">
        <f>IF($A26="","",IF(OR($AK26&gt;=2,AND($AK26&gt;0,$AQ26=""),AND($AK26&gt;0,$AR26="")),"CRITICAL",IF(OR($AK26=1,AND(($AJ26)&gt;0,$AQ26=""),AND(($AJ26)&gt;0,$AR26=""),$AT26&lt;0.95),"REVIEW","OK")))</f>
        <v/>
      </c>
    </row>
    <row r="27" ht="18" customHeight="1" s="57">
      <c r="A27" s="87">
        <f>IF('Employee Master'!A27="","",'Employee Master'!A27)</f>
        <v/>
      </c>
      <c r="B27" s="88">
        <f>IF($A27="","",'Employee Master'!B27)</f>
        <v/>
      </c>
      <c r="C27" s="87">
        <f>IF($A27="","",'Employee Master'!C27)</f>
        <v/>
      </c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  <c r="AC27" s="89" t="n"/>
      <c r="AD27" s="89" t="n"/>
      <c r="AE27" s="89" t="n"/>
      <c r="AF27" s="89" t="n"/>
      <c r="AG27" s="89" t="n"/>
      <c r="AH27" s="89" t="n"/>
      <c r="AI27" s="70">
        <f>IF($A27="","",COUNTIF($D27:$AH27,"P"))</f>
        <v/>
      </c>
      <c r="AJ27" s="70">
        <f>IF($A27="","",COUNTIF($D27:$AH27,"AA")+COUNTIF($D27:$AH27,"SA")+COUNTIF($D27:$AH27,"EA")+COUNTIF($D27:$AH27,"OR")+COUNTIF($D27:$AH27,"WO")+COUNTIF($D27:$AH27,"H"))</f>
        <v/>
      </c>
      <c r="AK27" s="70">
        <f>IF($A27="","",COUNTIF($D27:$AH27,"UA"))</f>
        <v/>
      </c>
      <c r="AL27" s="70">
        <f>IF($A27="","",COUNTIF($D27:$AH27,"SA"))</f>
        <v/>
      </c>
      <c r="AM27" s="70">
        <f>IF($A27="","",COUNTIF($D27:$AH27,"EA"))</f>
        <v/>
      </c>
      <c r="AN27" s="70">
        <f>IF($A27="","",COUNTIF($D27:$AH27,"OR"))</f>
        <v/>
      </c>
      <c r="AO27" s="70">
        <f>IF($A27="","",COUNTIF($D27:$AH27,"WO"))</f>
        <v/>
      </c>
      <c r="AP27" s="70">
        <f>IF($A27="","",COUNTIF($D27:$AH27,"H"))</f>
        <v/>
      </c>
      <c r="AQ27" s="77" t="n"/>
      <c r="AR27" s="77" t="n"/>
      <c r="AS27" s="90">
        <f>IF(OR($A27="",$I$2=0),"",AI27/$I$2)</f>
        <v/>
      </c>
      <c r="AT27" s="90">
        <f>IF(OR($A27="",$I$2=0),"",(AI27+AJ27)/$I$2)</f>
        <v/>
      </c>
      <c r="AU27" s="70">
        <f>IF($A27="","",IF(OR($AK27&gt;=2,AND($AK27&gt;0,$AQ27=""),AND($AK27&gt;0,$AR27="")),"CRITICAL",IF(OR($AK27=1,AND(($AJ27)&gt;0,$AQ27=""),AND(($AJ27)&gt;0,$AR27=""),$AT27&lt;0.95),"REVIEW","OK")))</f>
        <v/>
      </c>
    </row>
    <row r="28" ht="18" customHeight="1" s="57">
      <c r="A28" s="87">
        <f>IF('Employee Master'!A28="","",'Employee Master'!A28)</f>
        <v/>
      </c>
      <c r="B28" s="88">
        <f>IF($A28="","",'Employee Master'!B28)</f>
        <v/>
      </c>
      <c r="C28" s="87">
        <f>IF($A28="","",'Employee Master'!C28)</f>
        <v/>
      </c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89" t="n"/>
      <c r="AI28" s="70">
        <f>IF($A28="","",COUNTIF($D28:$AH28,"P"))</f>
        <v/>
      </c>
      <c r="AJ28" s="70">
        <f>IF($A28="","",COUNTIF($D28:$AH28,"AA")+COUNTIF($D28:$AH28,"SA")+COUNTIF($D28:$AH28,"EA")+COUNTIF($D28:$AH28,"OR")+COUNTIF($D28:$AH28,"WO")+COUNTIF($D28:$AH28,"H"))</f>
        <v/>
      </c>
      <c r="AK28" s="70">
        <f>IF($A28="","",COUNTIF($D28:$AH28,"UA"))</f>
        <v/>
      </c>
      <c r="AL28" s="70">
        <f>IF($A28="","",COUNTIF($D28:$AH28,"SA"))</f>
        <v/>
      </c>
      <c r="AM28" s="70">
        <f>IF($A28="","",COUNTIF($D28:$AH28,"EA"))</f>
        <v/>
      </c>
      <c r="AN28" s="70">
        <f>IF($A28="","",COUNTIF($D28:$AH28,"OR"))</f>
        <v/>
      </c>
      <c r="AO28" s="70">
        <f>IF($A28="","",COUNTIF($D28:$AH28,"WO"))</f>
        <v/>
      </c>
      <c r="AP28" s="70">
        <f>IF($A28="","",COUNTIF($D28:$AH28,"H"))</f>
        <v/>
      </c>
      <c r="AQ28" s="77" t="n"/>
      <c r="AR28" s="77" t="n"/>
      <c r="AS28" s="90">
        <f>IF(OR($A28="",$I$2=0),"",AI28/$I$2)</f>
        <v/>
      </c>
      <c r="AT28" s="90">
        <f>IF(OR($A28="",$I$2=0),"",(AI28+AJ28)/$I$2)</f>
        <v/>
      </c>
      <c r="AU28" s="70">
        <f>IF($A28="","",IF(OR($AK28&gt;=2,AND($AK28&gt;0,$AQ28=""),AND($AK28&gt;0,$AR28="")),"CRITICAL",IF(OR($AK28=1,AND(($AJ28)&gt;0,$AQ28=""),AND(($AJ28)&gt;0,$AR28=""),$AT28&lt;0.95),"REVIEW","OK")))</f>
        <v/>
      </c>
    </row>
    <row r="29" ht="18" customHeight="1" s="57">
      <c r="A29" s="87">
        <f>IF('Employee Master'!A29="","",'Employee Master'!A29)</f>
        <v/>
      </c>
      <c r="B29" s="88">
        <f>IF($A29="","",'Employee Master'!B29)</f>
        <v/>
      </c>
      <c r="C29" s="87">
        <f>IF($A29="","",'Employee Master'!C29)</f>
        <v/>
      </c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  <c r="AC29" s="89" t="n"/>
      <c r="AD29" s="89" t="n"/>
      <c r="AE29" s="89" t="n"/>
      <c r="AF29" s="89" t="n"/>
      <c r="AG29" s="89" t="n"/>
      <c r="AH29" s="89" t="n"/>
      <c r="AI29" s="70">
        <f>IF($A29="","",COUNTIF($D29:$AH29,"P"))</f>
        <v/>
      </c>
      <c r="AJ29" s="70">
        <f>IF($A29="","",COUNTIF($D29:$AH29,"AA")+COUNTIF($D29:$AH29,"SA")+COUNTIF($D29:$AH29,"EA")+COUNTIF($D29:$AH29,"OR")+COUNTIF($D29:$AH29,"WO")+COUNTIF($D29:$AH29,"H"))</f>
        <v/>
      </c>
      <c r="AK29" s="70">
        <f>IF($A29="","",COUNTIF($D29:$AH29,"UA"))</f>
        <v/>
      </c>
      <c r="AL29" s="70">
        <f>IF($A29="","",COUNTIF($D29:$AH29,"SA"))</f>
        <v/>
      </c>
      <c r="AM29" s="70">
        <f>IF($A29="","",COUNTIF($D29:$AH29,"EA"))</f>
        <v/>
      </c>
      <c r="AN29" s="70">
        <f>IF($A29="","",COUNTIF($D29:$AH29,"OR"))</f>
        <v/>
      </c>
      <c r="AO29" s="70">
        <f>IF($A29="","",COUNTIF($D29:$AH29,"WO"))</f>
        <v/>
      </c>
      <c r="AP29" s="70">
        <f>IF($A29="","",COUNTIF($D29:$AH29,"H"))</f>
        <v/>
      </c>
      <c r="AQ29" s="77" t="n"/>
      <c r="AR29" s="77" t="n"/>
      <c r="AS29" s="90">
        <f>IF(OR($A29="",$I$2=0),"",AI29/$I$2)</f>
        <v/>
      </c>
      <c r="AT29" s="90">
        <f>IF(OR($A29="",$I$2=0),"",(AI29+AJ29)/$I$2)</f>
        <v/>
      </c>
      <c r="AU29" s="70">
        <f>IF($A29="","",IF(OR($AK29&gt;=2,AND($AK29&gt;0,$AQ29=""),AND($AK29&gt;0,$AR29="")),"CRITICAL",IF(OR($AK29=1,AND(($AJ29)&gt;0,$AQ29=""),AND(($AJ29)&gt;0,$AR29=""),$AT29&lt;0.95),"REVIEW","OK")))</f>
        <v/>
      </c>
    </row>
    <row r="30" ht="18" customHeight="1" s="57">
      <c r="A30" s="87">
        <f>IF('Employee Master'!A30="","",'Employee Master'!A30)</f>
        <v/>
      </c>
      <c r="B30" s="88">
        <f>IF($A30="","",'Employee Master'!B30)</f>
        <v/>
      </c>
      <c r="C30" s="87">
        <f>IF($A30="","",'Employee Master'!C30)</f>
        <v/>
      </c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C30" s="89" t="n"/>
      <c r="AD30" s="89" t="n"/>
      <c r="AE30" s="89" t="n"/>
      <c r="AF30" s="89" t="n"/>
      <c r="AG30" s="89" t="n"/>
      <c r="AH30" s="89" t="n"/>
      <c r="AI30" s="70">
        <f>IF($A30="","",COUNTIF($D30:$AH30,"P"))</f>
        <v/>
      </c>
      <c r="AJ30" s="70">
        <f>IF($A30="","",COUNTIF($D30:$AH30,"AA")+COUNTIF($D30:$AH30,"SA")+COUNTIF($D30:$AH30,"EA")+COUNTIF($D30:$AH30,"OR")+COUNTIF($D30:$AH30,"WO")+COUNTIF($D30:$AH30,"H"))</f>
        <v/>
      </c>
      <c r="AK30" s="70">
        <f>IF($A30="","",COUNTIF($D30:$AH30,"UA"))</f>
        <v/>
      </c>
      <c r="AL30" s="70">
        <f>IF($A30="","",COUNTIF($D30:$AH30,"SA"))</f>
        <v/>
      </c>
      <c r="AM30" s="70">
        <f>IF($A30="","",COUNTIF($D30:$AH30,"EA"))</f>
        <v/>
      </c>
      <c r="AN30" s="70">
        <f>IF($A30="","",COUNTIF($D30:$AH30,"OR"))</f>
        <v/>
      </c>
      <c r="AO30" s="70">
        <f>IF($A30="","",COUNTIF($D30:$AH30,"WO"))</f>
        <v/>
      </c>
      <c r="AP30" s="70">
        <f>IF($A30="","",COUNTIF($D30:$AH30,"H"))</f>
        <v/>
      </c>
      <c r="AQ30" s="77" t="n"/>
      <c r="AR30" s="77" t="n"/>
      <c r="AS30" s="90">
        <f>IF(OR($A30="",$I$2=0),"",AI30/$I$2)</f>
        <v/>
      </c>
      <c r="AT30" s="90">
        <f>IF(OR($A30="",$I$2=0),"",(AI30+AJ30)/$I$2)</f>
        <v/>
      </c>
      <c r="AU30" s="70">
        <f>IF($A30="","",IF(OR($AK30&gt;=2,AND($AK30&gt;0,$AQ30=""),AND($AK30&gt;0,$AR30="")),"CRITICAL",IF(OR($AK30=1,AND(($AJ30)&gt;0,$AQ30=""),AND(($AJ30)&gt;0,$AR30=""),$AT30&lt;0.95),"REVIEW","OK")))</f>
        <v/>
      </c>
    </row>
    <row r="31" ht="18" customHeight="1" s="57">
      <c r="A31" s="87">
        <f>IF('Employee Master'!A31="","",'Employee Master'!A31)</f>
        <v/>
      </c>
      <c r="B31" s="88">
        <f>IF($A31="","",'Employee Master'!B31)</f>
        <v/>
      </c>
      <c r="C31" s="87">
        <f>IF($A31="","",'Employee Master'!C31)</f>
        <v/>
      </c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121" t="inlineStr">
        <is>
          <t>UA</t>
        </is>
      </c>
      <c r="AA31" s="121" t="inlineStr">
        <is>
          <t>UA</t>
        </is>
      </c>
      <c r="AB31" s="121" t="inlineStr">
        <is>
          <t>UA</t>
        </is>
      </c>
      <c r="AC31" s="121" t="inlineStr">
        <is>
          <t>UA</t>
        </is>
      </c>
      <c r="AD31" s="121" t="inlineStr">
        <is>
          <t>UA</t>
        </is>
      </c>
      <c r="AE31" s="121" t="inlineStr">
        <is>
          <t>UA</t>
        </is>
      </c>
      <c r="AF31" s="121" t="inlineStr">
        <is>
          <t>UA</t>
        </is>
      </c>
      <c r="AG31" s="121" t="inlineStr">
        <is>
          <t>UA</t>
        </is>
      </c>
      <c r="AH31" s="121" t="inlineStr">
        <is>
          <t>UA</t>
        </is>
      </c>
      <c r="AI31" s="70">
        <f>IF($A31="","",COUNTIF($D31:$AH31,"P"))</f>
        <v/>
      </c>
      <c r="AJ31" s="70">
        <f>IF($A31="","",COUNTIF($D31:$AH31,"AA")+COUNTIF($D31:$AH31,"SA")+COUNTIF($D31:$AH31,"EA")+COUNTIF($D31:$AH31,"OR")+COUNTIF($D31:$AH31,"WO")+COUNTIF($D31:$AH31,"H"))</f>
        <v/>
      </c>
      <c r="AK31" s="70">
        <f>IF($A31="","",COUNTIF($D31:$AH31,"UA"))</f>
        <v/>
      </c>
      <c r="AL31" s="70">
        <f>IF($A31="","",COUNTIF($D31:$AH31,"SA"))</f>
        <v/>
      </c>
      <c r="AM31" s="70">
        <f>IF($A31="","",COUNTIF($D31:$AH31,"EA"))</f>
        <v/>
      </c>
      <c r="AN31" s="70">
        <f>IF($A31="","",COUNTIF($D31:$AH31,"OR"))</f>
        <v/>
      </c>
      <c r="AO31" s="70">
        <f>IF($A31="","",COUNTIF($D31:$AH31,"WO"))</f>
        <v/>
      </c>
      <c r="AP31" s="70">
        <f>IF($A31="","",COUNTIF($D31:$AH31,"H"))</f>
        <v/>
      </c>
      <c r="AQ31" s="77" t="n"/>
      <c r="AR31" s="77" t="n"/>
      <c r="AS31" s="90">
        <f>IF(OR($A31="",$I$2=0),"",AI31/$I$2)</f>
        <v/>
      </c>
      <c r="AT31" s="90">
        <f>IF(OR($A31="",$I$2=0),"",(AI31+AJ31)/$I$2)</f>
        <v/>
      </c>
      <c r="AU31" s="70">
        <f>IF($A31="","",IF(OR($AK31&gt;=2,AND($AK31&gt;0,$AQ31=""),AND($AK31&gt;0,$AR31="")),"CRITICAL",IF(OR($AK31=1,AND(($AJ31)&gt;0,$AQ31=""),AND(($AJ31)&gt;0,$AR31=""),$AT31&lt;0.95),"REVIEW","OK")))</f>
        <v/>
      </c>
    </row>
    <row r="32" ht="18" customHeight="1" s="57">
      <c r="A32" s="87">
        <f>IF('Employee Master'!A32="","",'Employee Master'!A32)</f>
        <v/>
      </c>
      <c r="B32" s="88">
        <f>IF($A32="","",'Employee Master'!B32)</f>
        <v/>
      </c>
      <c r="C32" s="87">
        <f>IF($A32="","",'Employee Master'!C32)</f>
        <v/>
      </c>
      <c r="D32" s="89" t="n"/>
      <c r="E32" s="89" t="n"/>
      <c r="F32" s="89" t="n"/>
      <c r="G32" s="89" t="n"/>
      <c r="H32" s="89" t="n"/>
      <c r="I32" s="89" t="n"/>
      <c r="J32" s="89" t="n"/>
      <c r="K32" s="121" t="inlineStr">
        <is>
          <t>UA</t>
        </is>
      </c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  <c r="AC32" s="89" t="n"/>
      <c r="AD32" s="89" t="n"/>
      <c r="AE32" s="89" t="n"/>
      <c r="AF32" s="89" t="n"/>
      <c r="AG32" s="89" t="n"/>
      <c r="AH32" s="121" t="inlineStr">
        <is>
          <t>UA</t>
        </is>
      </c>
      <c r="AI32" s="70">
        <f>IF($A32="","",COUNTIF($D32:$AH32,"P"))</f>
        <v/>
      </c>
      <c r="AJ32" s="70">
        <f>IF($A32="","",COUNTIF($D32:$AH32,"AA")+COUNTIF($D32:$AH32,"SA")+COUNTIF($D32:$AH32,"EA")+COUNTIF($D32:$AH32,"OR")+COUNTIF($D32:$AH32,"WO")+COUNTIF($D32:$AH32,"H"))</f>
        <v/>
      </c>
      <c r="AK32" s="70">
        <f>IF($A32="","",COUNTIF($D32:$AH32,"UA"))</f>
        <v/>
      </c>
      <c r="AL32" s="70">
        <f>IF($A32="","",COUNTIF($D32:$AH32,"SA"))</f>
        <v/>
      </c>
      <c r="AM32" s="70">
        <f>IF($A32="","",COUNTIF($D32:$AH32,"EA"))</f>
        <v/>
      </c>
      <c r="AN32" s="70">
        <f>IF($A32="","",COUNTIF($D32:$AH32,"OR"))</f>
        <v/>
      </c>
      <c r="AO32" s="70">
        <f>IF($A32="","",COUNTIF($D32:$AH32,"WO"))</f>
        <v/>
      </c>
      <c r="AP32" s="70">
        <f>IF($A32="","",COUNTIF($D32:$AH32,"H"))</f>
        <v/>
      </c>
      <c r="AQ32" s="77" t="n"/>
      <c r="AR32" s="77" t="n"/>
      <c r="AS32" s="90">
        <f>IF(OR($A32="",$I$2=0),"",AI32/$I$2)</f>
        <v/>
      </c>
      <c r="AT32" s="90">
        <f>IF(OR($A32="",$I$2=0),"",(AI32+AJ32)/$I$2)</f>
        <v/>
      </c>
      <c r="AU32" s="70">
        <f>IF($A32="","",IF(OR($AK32&gt;=2,AND($AK32&gt;0,$AQ32=""),AND($AK32&gt;0,$AR32="")),"CRITICAL",IF(OR($AK32=1,AND(($AJ32)&gt;0,$AQ32=""),AND(($AJ32)&gt;0,$AR32=""),$AT32&lt;0.95),"REVIEW","OK")))</f>
        <v/>
      </c>
    </row>
    <row r="33" ht="18" customHeight="1" s="57">
      <c r="A33" s="87">
        <f>IF('Employee Master'!A33="","",'Employee Master'!A33)</f>
        <v/>
      </c>
      <c r="B33" s="88">
        <f>IF($A33="","",'Employee Master'!B33)</f>
        <v/>
      </c>
      <c r="C33" s="87">
        <f>IF($A33="","",'Employee Master'!C33)</f>
        <v/>
      </c>
      <c r="D33" s="89" t="n"/>
      <c r="E33" s="89" t="n"/>
      <c r="F33" s="89" t="n"/>
      <c r="G33" s="121" t="inlineStr">
        <is>
          <t>UA</t>
        </is>
      </c>
      <c r="H33" s="121" t="inlineStr">
        <is>
          <t>UA</t>
        </is>
      </c>
      <c r="I33" s="121" t="inlineStr">
        <is>
          <t>UA</t>
        </is>
      </c>
      <c r="J33" s="121" t="inlineStr">
        <is>
          <t>UA</t>
        </is>
      </c>
      <c r="K33" s="121" t="inlineStr">
        <is>
          <t>UA</t>
        </is>
      </c>
      <c r="L33" s="121" t="inlineStr">
        <is>
          <t>UA</t>
        </is>
      </c>
      <c r="M33" s="121" t="inlineStr">
        <is>
          <t>UA</t>
        </is>
      </c>
      <c r="N33" s="121" t="inlineStr">
        <is>
          <t>UA</t>
        </is>
      </c>
      <c r="O33" s="121" t="inlineStr">
        <is>
          <t>UA</t>
        </is>
      </c>
      <c r="P33" s="121" t="inlineStr">
        <is>
          <t>UA</t>
        </is>
      </c>
      <c r="Q33" s="121" t="inlineStr">
        <is>
          <t>UA</t>
        </is>
      </c>
      <c r="R33" s="121" t="inlineStr">
        <is>
          <t>UA</t>
        </is>
      </c>
      <c r="S33" s="121" t="inlineStr">
        <is>
          <t>UA</t>
        </is>
      </c>
      <c r="T33" s="121" t="inlineStr">
        <is>
          <t>UA</t>
        </is>
      </c>
      <c r="U33" s="121" t="inlineStr">
        <is>
          <t>UA</t>
        </is>
      </c>
      <c r="V33" s="121" t="inlineStr">
        <is>
          <t>UA</t>
        </is>
      </c>
      <c r="W33" s="121" t="inlineStr">
        <is>
          <t>UA</t>
        </is>
      </c>
      <c r="X33" s="121" t="inlineStr">
        <is>
          <t>UA</t>
        </is>
      </c>
      <c r="Y33" s="121" t="inlineStr">
        <is>
          <t>UA</t>
        </is>
      </c>
      <c r="Z33" s="121" t="inlineStr">
        <is>
          <t>UA</t>
        </is>
      </c>
      <c r="AA33" s="121" t="inlineStr">
        <is>
          <t>UA</t>
        </is>
      </c>
      <c r="AB33" s="121" t="inlineStr">
        <is>
          <t>UA</t>
        </is>
      </c>
      <c r="AC33" s="121" t="inlineStr">
        <is>
          <t>UA</t>
        </is>
      </c>
      <c r="AD33" s="121" t="inlineStr">
        <is>
          <t>UA</t>
        </is>
      </c>
      <c r="AE33" s="121" t="inlineStr">
        <is>
          <t>UA</t>
        </is>
      </c>
      <c r="AF33" s="121" t="inlineStr">
        <is>
          <t>UA</t>
        </is>
      </c>
      <c r="AG33" s="121" t="inlineStr">
        <is>
          <t>UA</t>
        </is>
      </c>
      <c r="AH33" s="121" t="inlineStr">
        <is>
          <t>UA</t>
        </is>
      </c>
      <c r="AI33" s="70">
        <f>IF($A33="","",COUNTIF($D33:$AH33,"P"))</f>
        <v/>
      </c>
      <c r="AJ33" s="70">
        <f>IF($A33="","",COUNTIF($D33:$AH33,"AA")+COUNTIF($D33:$AH33,"SA")+COUNTIF($D33:$AH33,"EA")+COUNTIF($D33:$AH33,"OR")+COUNTIF($D33:$AH33,"WO")+COUNTIF($D33:$AH33,"H"))</f>
        <v/>
      </c>
      <c r="AK33" s="70">
        <f>IF($A33="","",COUNTIF($D33:$AH33,"UA"))</f>
        <v/>
      </c>
      <c r="AL33" s="70">
        <f>IF($A33="","",COUNTIF($D33:$AH33,"SA"))</f>
        <v/>
      </c>
      <c r="AM33" s="70">
        <f>IF($A33="","",COUNTIF($D33:$AH33,"EA"))</f>
        <v/>
      </c>
      <c r="AN33" s="70">
        <f>IF($A33="","",COUNTIF($D33:$AH33,"OR"))</f>
        <v/>
      </c>
      <c r="AO33" s="70">
        <f>IF($A33="","",COUNTIF($D33:$AH33,"WO"))</f>
        <v/>
      </c>
      <c r="AP33" s="70">
        <f>IF($A33="","",COUNTIF($D33:$AH33,"H"))</f>
        <v/>
      </c>
      <c r="AQ33" s="77" t="n"/>
      <c r="AR33" s="77" t="n"/>
      <c r="AS33" s="90">
        <f>IF(OR($A33="",$I$2=0),"",AI33/$I$2)</f>
        <v/>
      </c>
      <c r="AT33" s="90">
        <f>IF(OR($A33="",$I$2=0),"",(AI33+AJ33)/$I$2)</f>
        <v/>
      </c>
      <c r="AU33" s="70">
        <f>IF($A33="","",IF(OR($AK33&gt;=2,AND($AK33&gt;0,$AQ33=""),AND($AK33&gt;0,$AR33="")),"CRITICAL",IF(OR($AK33=1,AND(($AJ33)&gt;0,$AQ33=""),AND(($AJ33)&gt;0,$AR33=""),$AT33&lt;0.95),"REVIEW","OK")))</f>
        <v/>
      </c>
    </row>
    <row r="34" ht="18" customHeight="1" s="57">
      <c r="A34" s="87">
        <f>IF('Employee Master'!A34="","",'Employee Master'!A34)</f>
        <v/>
      </c>
      <c r="B34" s="88">
        <f>IF($A34="","",'Employee Master'!B34)</f>
        <v/>
      </c>
      <c r="C34" s="87">
        <f>IF($A34="","",'Employee Master'!C34)</f>
        <v/>
      </c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70">
        <f>IF($A34="","",COUNTIF($D34:$AH34,"P"))</f>
        <v/>
      </c>
      <c r="AJ34" s="70">
        <f>IF($A34="","",COUNTIF($D34:$AH34,"AA")+COUNTIF($D34:$AH34,"SA")+COUNTIF($D34:$AH34,"EA")+COUNTIF($D34:$AH34,"OR")+COUNTIF($D34:$AH34,"WO")+COUNTIF($D34:$AH34,"H"))</f>
        <v/>
      </c>
      <c r="AK34" s="70">
        <f>IF($A34="","",COUNTIF($D34:$AH34,"UA"))</f>
        <v/>
      </c>
      <c r="AL34" s="70">
        <f>IF($A34="","",COUNTIF($D34:$AH34,"SA"))</f>
        <v/>
      </c>
      <c r="AM34" s="70">
        <f>IF($A34="","",COUNTIF($D34:$AH34,"EA"))</f>
        <v/>
      </c>
      <c r="AN34" s="70">
        <f>IF($A34="","",COUNTIF($D34:$AH34,"OR"))</f>
        <v/>
      </c>
      <c r="AO34" s="70">
        <f>IF($A34="","",COUNTIF($D34:$AH34,"WO"))</f>
        <v/>
      </c>
      <c r="AP34" s="70">
        <f>IF($A34="","",COUNTIF($D34:$AH34,"H"))</f>
        <v/>
      </c>
      <c r="AQ34" s="77" t="n"/>
      <c r="AR34" s="77" t="n"/>
      <c r="AS34" s="90">
        <f>IF(OR($A34="",$I$2=0),"",AI34/$I$2)</f>
        <v/>
      </c>
      <c r="AT34" s="90">
        <f>IF(OR($A34="",$I$2=0),"",(AI34+AJ34)/$I$2)</f>
        <v/>
      </c>
      <c r="AU34" s="70">
        <f>IF($A34="","",IF(OR($AK34&gt;=2,AND($AK34&gt;0,$AQ34=""),AND($AK34&gt;0,$AR34="")),"CRITICAL",IF(OR($AK34=1,AND(($AJ34)&gt;0,$AQ34=""),AND(($AJ34)&gt;0,$AR34=""),$AT34&lt;0.95),"REVIEW","OK")))</f>
        <v/>
      </c>
    </row>
    <row r="35" ht="18" customHeight="1" s="57">
      <c r="A35" s="87">
        <f>IF('Employee Master'!A35="","",'Employee Master'!A35)</f>
        <v/>
      </c>
      <c r="B35" s="88">
        <f>IF($A35="","",'Employee Master'!B35)</f>
        <v/>
      </c>
      <c r="C35" s="87">
        <f>IF($A35="","",'Employee Master'!C35)</f>
        <v/>
      </c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  <c r="AC35" s="89" t="n"/>
      <c r="AD35" s="89" t="n"/>
      <c r="AE35" s="89" t="n"/>
      <c r="AF35" s="89" t="n"/>
      <c r="AG35" s="89" t="n"/>
      <c r="AH35" s="89" t="n"/>
      <c r="AI35" s="70">
        <f>IF($A35="","",COUNTIF($D35:$AH35,"P"))</f>
        <v/>
      </c>
      <c r="AJ35" s="70">
        <f>IF($A35="","",COUNTIF($D35:$AH35,"AA")+COUNTIF($D35:$AH35,"SA")+COUNTIF($D35:$AH35,"EA")+COUNTIF($D35:$AH35,"OR")+COUNTIF($D35:$AH35,"WO")+COUNTIF($D35:$AH35,"H"))</f>
        <v/>
      </c>
      <c r="AK35" s="70">
        <f>IF($A35="","",COUNTIF($D35:$AH35,"UA"))</f>
        <v/>
      </c>
      <c r="AL35" s="70">
        <f>IF($A35="","",COUNTIF($D35:$AH35,"SA"))</f>
        <v/>
      </c>
      <c r="AM35" s="70">
        <f>IF($A35="","",COUNTIF($D35:$AH35,"EA"))</f>
        <v/>
      </c>
      <c r="AN35" s="70">
        <f>IF($A35="","",COUNTIF($D35:$AH35,"OR"))</f>
        <v/>
      </c>
      <c r="AO35" s="70">
        <f>IF($A35="","",COUNTIF($D35:$AH35,"WO"))</f>
        <v/>
      </c>
      <c r="AP35" s="70">
        <f>IF($A35="","",COUNTIF($D35:$AH35,"H"))</f>
        <v/>
      </c>
      <c r="AQ35" s="77" t="n"/>
      <c r="AR35" s="77" t="n"/>
      <c r="AS35" s="90">
        <f>IF(OR($A35="",$I$2=0),"",AI35/$I$2)</f>
        <v/>
      </c>
      <c r="AT35" s="90">
        <f>IF(OR($A35="",$I$2=0),"",(AI35+AJ35)/$I$2)</f>
        <v/>
      </c>
      <c r="AU35" s="70">
        <f>IF($A35="","",IF(OR($AK35&gt;=2,AND($AK35&gt;0,$AQ35=""),AND($AK35&gt;0,$AR35="")),"CRITICAL",IF(OR($AK35=1,AND(($AJ35)&gt;0,$AQ35=""),AND(($AJ35)&gt;0,$AR35=""),$AT35&lt;0.95),"REVIEW","OK")))</f>
        <v/>
      </c>
    </row>
    <row r="36" ht="18" customHeight="1" s="57">
      <c r="A36" s="87">
        <f>IF('Employee Master'!A36="","",'Employee Master'!A36)</f>
        <v/>
      </c>
      <c r="B36" s="88">
        <f>IF($A36="","",'Employee Master'!B36)</f>
        <v/>
      </c>
      <c r="C36" s="87">
        <f>IF($A36="","",'Employee Master'!C36)</f>
        <v/>
      </c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  <c r="AC36" s="89" t="n"/>
      <c r="AD36" s="89" t="n"/>
      <c r="AE36" s="89" t="n"/>
      <c r="AF36" s="89" t="n"/>
      <c r="AG36" s="89" t="n"/>
      <c r="AH36" s="89" t="n"/>
      <c r="AI36" s="70">
        <f>IF($A36="","",COUNTIF($D36:$AH36,"P"))</f>
        <v/>
      </c>
      <c r="AJ36" s="70">
        <f>IF($A36="","",COUNTIF($D36:$AH36,"AA")+COUNTIF($D36:$AH36,"SA")+COUNTIF($D36:$AH36,"EA")+COUNTIF($D36:$AH36,"OR")+COUNTIF($D36:$AH36,"WO")+COUNTIF($D36:$AH36,"H"))</f>
        <v/>
      </c>
      <c r="AK36" s="70">
        <f>IF($A36="","",COUNTIF($D36:$AH36,"UA"))</f>
        <v/>
      </c>
      <c r="AL36" s="70">
        <f>IF($A36="","",COUNTIF($D36:$AH36,"SA"))</f>
        <v/>
      </c>
      <c r="AM36" s="70">
        <f>IF($A36="","",COUNTIF($D36:$AH36,"EA"))</f>
        <v/>
      </c>
      <c r="AN36" s="70">
        <f>IF($A36="","",COUNTIF($D36:$AH36,"OR"))</f>
        <v/>
      </c>
      <c r="AO36" s="70">
        <f>IF($A36="","",COUNTIF($D36:$AH36,"WO"))</f>
        <v/>
      </c>
      <c r="AP36" s="70">
        <f>IF($A36="","",COUNTIF($D36:$AH36,"H"))</f>
        <v/>
      </c>
      <c r="AQ36" s="77" t="n"/>
      <c r="AR36" s="77" t="n"/>
      <c r="AS36" s="90">
        <f>IF(OR($A36="",$I$2=0),"",AI36/$I$2)</f>
        <v/>
      </c>
      <c r="AT36" s="90">
        <f>IF(OR($A36="",$I$2=0),"",(AI36+AJ36)/$I$2)</f>
        <v/>
      </c>
      <c r="AU36" s="70">
        <f>IF($A36="","",IF(OR($AK36&gt;=2,AND($AK36&gt;0,$AQ36=""),AND($AK36&gt;0,$AR36="")),"CRITICAL",IF(OR($AK36=1,AND(($AJ36)&gt;0,$AQ36=""),AND(($AJ36)&gt;0,$AR36=""),$AT36&lt;0.95),"REVIEW","OK")))</f>
        <v/>
      </c>
    </row>
    <row r="37" ht="18" customHeight="1" s="57">
      <c r="A37" s="87">
        <f>IF('Employee Master'!A37="","",'Employee Master'!A37)</f>
        <v/>
      </c>
      <c r="B37" s="88">
        <f>IF($A37="","",'Employee Master'!B37)</f>
        <v/>
      </c>
      <c r="C37" s="87">
        <f>IF($A37="","",'Employee Master'!C37)</f>
        <v/>
      </c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  <c r="AC37" s="89" t="n"/>
      <c r="AD37" s="89" t="n"/>
      <c r="AE37" s="89" t="n"/>
      <c r="AF37" s="89" t="n"/>
      <c r="AG37" s="89" t="n"/>
      <c r="AH37" s="89" t="n"/>
      <c r="AI37" s="70">
        <f>IF($A37="","",COUNTIF($D37:$AH37,"P"))</f>
        <v/>
      </c>
      <c r="AJ37" s="70">
        <f>IF($A37="","",COUNTIF($D37:$AH37,"AA")+COUNTIF($D37:$AH37,"SA")+COUNTIF($D37:$AH37,"EA")+COUNTIF($D37:$AH37,"OR")+COUNTIF($D37:$AH37,"WO")+COUNTIF($D37:$AH37,"H"))</f>
        <v/>
      </c>
      <c r="AK37" s="70">
        <f>IF($A37="","",COUNTIF($D37:$AH37,"UA"))</f>
        <v/>
      </c>
      <c r="AL37" s="70">
        <f>IF($A37="","",COUNTIF($D37:$AH37,"SA"))</f>
        <v/>
      </c>
      <c r="AM37" s="70">
        <f>IF($A37="","",COUNTIF($D37:$AH37,"EA"))</f>
        <v/>
      </c>
      <c r="AN37" s="70">
        <f>IF($A37="","",COUNTIF($D37:$AH37,"OR"))</f>
        <v/>
      </c>
      <c r="AO37" s="70">
        <f>IF($A37="","",COUNTIF($D37:$AH37,"WO"))</f>
        <v/>
      </c>
      <c r="AP37" s="70">
        <f>IF($A37="","",COUNTIF($D37:$AH37,"H"))</f>
        <v/>
      </c>
      <c r="AQ37" s="77" t="n"/>
      <c r="AR37" s="77" t="n"/>
      <c r="AS37" s="90">
        <f>IF(OR($A37="",$I$2=0),"",AI37/$I$2)</f>
        <v/>
      </c>
      <c r="AT37" s="90">
        <f>IF(OR($A37="",$I$2=0),"",(AI37+AJ37)/$I$2)</f>
        <v/>
      </c>
      <c r="AU37" s="70">
        <f>IF($A37="","",IF(OR($AK37&gt;=2,AND($AK37&gt;0,$AQ37=""),AND($AK37&gt;0,$AR37="")),"CRITICAL",IF(OR($AK37=1,AND(($AJ37)&gt;0,$AQ37=""),AND(($AJ37)&gt;0,$AR37=""),$AT37&lt;0.95),"REVIEW","OK")))</f>
        <v/>
      </c>
    </row>
    <row r="38" ht="18" customHeight="1" s="57">
      <c r="A38" s="87">
        <f>IF('Employee Master'!A38="","",'Employee Master'!A38)</f>
        <v/>
      </c>
      <c r="B38" s="88">
        <f>IF($A38="","",'Employee Master'!B38)</f>
        <v/>
      </c>
      <c r="C38" s="87">
        <f>IF($A38="","",'Employee Master'!C38)</f>
        <v/>
      </c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70">
        <f>IF($A38="","",COUNTIF($D38:$AH38,"P"))</f>
        <v/>
      </c>
      <c r="AJ38" s="70">
        <f>IF($A38="","",COUNTIF($D38:$AH38,"AA")+COUNTIF($D38:$AH38,"SA")+COUNTIF($D38:$AH38,"EA")+COUNTIF($D38:$AH38,"OR")+COUNTIF($D38:$AH38,"WO")+COUNTIF($D38:$AH38,"H"))</f>
        <v/>
      </c>
      <c r="AK38" s="70">
        <f>IF($A38="","",COUNTIF($D38:$AH38,"UA"))</f>
        <v/>
      </c>
      <c r="AL38" s="70">
        <f>IF($A38="","",COUNTIF($D38:$AH38,"SA"))</f>
        <v/>
      </c>
      <c r="AM38" s="70">
        <f>IF($A38="","",COUNTIF($D38:$AH38,"EA"))</f>
        <v/>
      </c>
      <c r="AN38" s="70">
        <f>IF($A38="","",COUNTIF($D38:$AH38,"OR"))</f>
        <v/>
      </c>
      <c r="AO38" s="70">
        <f>IF($A38="","",COUNTIF($D38:$AH38,"WO"))</f>
        <v/>
      </c>
      <c r="AP38" s="70">
        <f>IF($A38="","",COUNTIF($D38:$AH38,"H"))</f>
        <v/>
      </c>
      <c r="AQ38" s="77" t="n"/>
      <c r="AR38" s="77" t="n"/>
      <c r="AS38" s="90">
        <f>IF(OR($A38="",$I$2=0),"",AI38/$I$2)</f>
        <v/>
      </c>
      <c r="AT38" s="90">
        <f>IF(OR($A38="",$I$2=0),"",(AI38+AJ38)/$I$2)</f>
        <v/>
      </c>
      <c r="AU38" s="70">
        <f>IF($A38="","",IF(OR($AK38&gt;=2,AND($AK38&gt;0,$AQ38=""),AND($AK38&gt;0,$AR38="")),"CRITICAL",IF(OR($AK38=1,AND(($AJ38)&gt;0,$AQ38=""),AND(($AJ38)&gt;0,$AR38=""),$AT38&lt;0.95),"REVIEW","OK")))</f>
        <v/>
      </c>
    </row>
    <row r="39" ht="18" customHeight="1" s="57">
      <c r="A39" s="87">
        <f>IF('Employee Master'!A39="","",'Employee Master'!A39)</f>
        <v/>
      </c>
      <c r="B39" s="88">
        <f>IF($A39="","",'Employee Master'!B39)</f>
        <v/>
      </c>
      <c r="C39" s="87">
        <f>IF($A39="","",'Employee Master'!C39)</f>
        <v/>
      </c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  <c r="AC39" s="89" t="n"/>
      <c r="AD39" s="89" t="n"/>
      <c r="AE39" s="89" t="n"/>
      <c r="AF39" s="89" t="n"/>
      <c r="AG39" s="89" t="n"/>
      <c r="AH39" s="89" t="n"/>
      <c r="AI39" s="70">
        <f>IF($A39="","",COUNTIF($D39:$AH39,"P"))</f>
        <v/>
      </c>
      <c r="AJ39" s="70">
        <f>IF($A39="","",COUNTIF($D39:$AH39,"AA")+COUNTIF($D39:$AH39,"SA")+COUNTIF($D39:$AH39,"EA")+COUNTIF($D39:$AH39,"OR")+COUNTIF($D39:$AH39,"WO")+COUNTIF($D39:$AH39,"H"))</f>
        <v/>
      </c>
      <c r="AK39" s="70">
        <f>IF($A39="","",COUNTIF($D39:$AH39,"UA"))</f>
        <v/>
      </c>
      <c r="AL39" s="70">
        <f>IF($A39="","",COUNTIF($D39:$AH39,"SA"))</f>
        <v/>
      </c>
      <c r="AM39" s="70">
        <f>IF($A39="","",COUNTIF($D39:$AH39,"EA"))</f>
        <v/>
      </c>
      <c r="AN39" s="70">
        <f>IF($A39="","",COUNTIF($D39:$AH39,"OR"))</f>
        <v/>
      </c>
      <c r="AO39" s="70">
        <f>IF($A39="","",COUNTIF($D39:$AH39,"WO"))</f>
        <v/>
      </c>
      <c r="AP39" s="70">
        <f>IF($A39="","",COUNTIF($D39:$AH39,"H"))</f>
        <v/>
      </c>
      <c r="AQ39" s="77" t="n"/>
      <c r="AR39" s="77" t="n"/>
      <c r="AS39" s="90">
        <f>IF(OR($A39="",$I$2=0),"",AI39/$I$2)</f>
        <v/>
      </c>
      <c r="AT39" s="90">
        <f>IF(OR($A39="",$I$2=0),"",(AI39+AJ39)/$I$2)</f>
        <v/>
      </c>
      <c r="AU39" s="70">
        <f>IF($A39="","",IF(OR($AK39&gt;=2,AND($AK39&gt;0,$AQ39=""),AND($AK39&gt;0,$AR39="")),"CRITICAL",IF(OR($AK39=1,AND(($AJ39)&gt;0,$AQ39=""),AND(($AJ39)&gt;0,$AR39=""),$AT39&lt;0.95),"REVIEW","OK")))</f>
        <v/>
      </c>
    </row>
    <row r="40" ht="18" customHeight="1" s="57">
      <c r="A40" s="87">
        <f>IF('Employee Master'!A40="","",'Employee Master'!A40)</f>
        <v/>
      </c>
      <c r="B40" s="88">
        <f>IF($A40="","",'Employee Master'!B40)</f>
        <v/>
      </c>
      <c r="C40" s="87">
        <f>IF($A40="","",'Employee Master'!C40)</f>
        <v/>
      </c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  <c r="AC40" s="89" t="n"/>
      <c r="AD40" s="89" t="n"/>
      <c r="AE40" s="89" t="n"/>
      <c r="AF40" s="89" t="n"/>
      <c r="AG40" s="89" t="n"/>
      <c r="AH40" s="89" t="n"/>
      <c r="AI40" s="70">
        <f>IF($A40="","",COUNTIF($D40:$AH40,"P"))</f>
        <v/>
      </c>
      <c r="AJ40" s="70">
        <f>IF($A40="","",COUNTIF($D40:$AH40,"AA")+COUNTIF($D40:$AH40,"SA")+COUNTIF($D40:$AH40,"EA")+COUNTIF($D40:$AH40,"OR")+COUNTIF($D40:$AH40,"WO")+COUNTIF($D40:$AH40,"H"))</f>
        <v/>
      </c>
      <c r="AK40" s="70">
        <f>IF($A40="","",COUNTIF($D40:$AH40,"UA"))</f>
        <v/>
      </c>
      <c r="AL40" s="70">
        <f>IF($A40="","",COUNTIF($D40:$AH40,"SA"))</f>
        <v/>
      </c>
      <c r="AM40" s="70">
        <f>IF($A40="","",COUNTIF($D40:$AH40,"EA"))</f>
        <v/>
      </c>
      <c r="AN40" s="70">
        <f>IF($A40="","",COUNTIF($D40:$AH40,"OR"))</f>
        <v/>
      </c>
      <c r="AO40" s="70">
        <f>IF($A40="","",COUNTIF($D40:$AH40,"WO"))</f>
        <v/>
      </c>
      <c r="AP40" s="70">
        <f>IF($A40="","",COUNTIF($D40:$AH40,"H"))</f>
        <v/>
      </c>
      <c r="AQ40" s="77" t="n"/>
      <c r="AR40" s="77" t="n"/>
      <c r="AS40" s="90">
        <f>IF(OR($A40="",$I$2=0),"",AI40/$I$2)</f>
        <v/>
      </c>
      <c r="AT40" s="90">
        <f>IF(OR($A40="",$I$2=0),"",(AI40+AJ40)/$I$2)</f>
        <v/>
      </c>
      <c r="AU40" s="70">
        <f>IF($A40="","",IF(OR($AK40&gt;=2,AND($AK40&gt;0,$AQ40=""),AND($AK40&gt;0,$AR40="")),"CRITICAL",IF(OR($AK40=1,AND(($AJ40)&gt;0,$AQ40=""),AND(($AJ40)&gt;0,$AR40=""),$AT40&lt;0.95),"REVIEW","OK")))</f>
        <v/>
      </c>
    </row>
    <row r="41" ht="18" customHeight="1" s="57">
      <c r="A41" s="87">
        <f>IF('Employee Master'!A41="","",'Employee Master'!A41)</f>
        <v/>
      </c>
      <c r="B41" s="88">
        <f>IF($A41="","",'Employee Master'!B41)</f>
        <v/>
      </c>
      <c r="C41" s="87">
        <f>IF($A41="","",'Employee Master'!C41)</f>
        <v/>
      </c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  <c r="AC41" s="89" t="n"/>
      <c r="AD41" s="89" t="n"/>
      <c r="AE41" s="89" t="n"/>
      <c r="AF41" s="89" t="n"/>
      <c r="AG41" s="89" t="n"/>
      <c r="AH41" s="89" t="n"/>
      <c r="AI41" s="70">
        <f>IF($A41="","",COUNTIF($D41:$AH41,"P"))</f>
        <v/>
      </c>
      <c r="AJ41" s="70">
        <f>IF($A41="","",COUNTIF($D41:$AH41,"AA")+COUNTIF($D41:$AH41,"SA")+COUNTIF($D41:$AH41,"EA")+COUNTIF($D41:$AH41,"OR")+COUNTIF($D41:$AH41,"WO")+COUNTIF($D41:$AH41,"H"))</f>
        <v/>
      </c>
      <c r="AK41" s="70">
        <f>IF($A41="","",COUNTIF($D41:$AH41,"UA"))</f>
        <v/>
      </c>
      <c r="AL41" s="70">
        <f>IF($A41="","",COUNTIF($D41:$AH41,"SA"))</f>
        <v/>
      </c>
      <c r="AM41" s="70">
        <f>IF($A41="","",COUNTIF($D41:$AH41,"EA"))</f>
        <v/>
      </c>
      <c r="AN41" s="70">
        <f>IF($A41="","",COUNTIF($D41:$AH41,"OR"))</f>
        <v/>
      </c>
      <c r="AO41" s="70">
        <f>IF($A41="","",COUNTIF($D41:$AH41,"WO"))</f>
        <v/>
      </c>
      <c r="AP41" s="70">
        <f>IF($A41="","",COUNTIF($D41:$AH41,"H"))</f>
        <v/>
      </c>
      <c r="AQ41" s="77" t="n"/>
      <c r="AR41" s="77" t="n"/>
      <c r="AS41" s="90">
        <f>IF(OR($A41="",$I$2=0),"",AI41/$I$2)</f>
        <v/>
      </c>
      <c r="AT41" s="90">
        <f>IF(OR($A41="",$I$2=0),"",(AI41+AJ41)/$I$2)</f>
        <v/>
      </c>
      <c r="AU41" s="70">
        <f>IF($A41="","",IF(OR($AK41&gt;=2,AND($AK41&gt;0,$AQ41=""),AND($AK41&gt;0,$AR41="")),"CRITICAL",IF(OR($AK41=1,AND(($AJ41)&gt;0,$AQ41=""),AND(($AJ41)&gt;0,$AR41=""),$AT41&lt;0.95),"REVIEW","OK")))</f>
        <v/>
      </c>
    </row>
    <row r="42" ht="18" customHeight="1" s="57">
      <c r="A42" s="87">
        <f>IF('Employee Master'!A42="","",'Employee Master'!A42)</f>
        <v/>
      </c>
      <c r="B42" s="88">
        <f>IF($A42="","",'Employee Master'!B42)</f>
        <v/>
      </c>
      <c r="C42" s="87">
        <f>IF($A42="","",'Employee Master'!C42)</f>
        <v/>
      </c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  <c r="AD42" s="89" t="n"/>
      <c r="AE42" s="89" t="n"/>
      <c r="AF42" s="89" t="n"/>
      <c r="AG42" s="89" t="n"/>
      <c r="AH42" s="89" t="n"/>
      <c r="AI42" s="70">
        <f>IF($A42="","",COUNTIF($D42:$AH42,"P"))</f>
        <v/>
      </c>
      <c r="AJ42" s="70">
        <f>IF($A42="","",COUNTIF($D42:$AH42,"AA")+COUNTIF($D42:$AH42,"SA")+COUNTIF($D42:$AH42,"EA")+COUNTIF($D42:$AH42,"OR")+COUNTIF($D42:$AH42,"WO")+COUNTIF($D42:$AH42,"H"))</f>
        <v/>
      </c>
      <c r="AK42" s="70">
        <f>IF($A42="","",COUNTIF($D42:$AH42,"UA"))</f>
        <v/>
      </c>
      <c r="AL42" s="70">
        <f>IF($A42="","",COUNTIF($D42:$AH42,"SA"))</f>
        <v/>
      </c>
      <c r="AM42" s="70">
        <f>IF($A42="","",COUNTIF($D42:$AH42,"EA"))</f>
        <v/>
      </c>
      <c r="AN42" s="70">
        <f>IF($A42="","",COUNTIF($D42:$AH42,"OR"))</f>
        <v/>
      </c>
      <c r="AO42" s="70">
        <f>IF($A42="","",COUNTIF($D42:$AH42,"WO"))</f>
        <v/>
      </c>
      <c r="AP42" s="70">
        <f>IF($A42="","",COUNTIF($D42:$AH42,"H"))</f>
        <v/>
      </c>
      <c r="AQ42" s="77" t="n"/>
      <c r="AR42" s="77" t="n"/>
      <c r="AS42" s="90">
        <f>IF(OR($A42="",$I$2=0),"",AI42/$I$2)</f>
        <v/>
      </c>
      <c r="AT42" s="90">
        <f>IF(OR($A42="",$I$2=0),"",(AI42+AJ42)/$I$2)</f>
        <v/>
      </c>
      <c r="AU42" s="70">
        <f>IF($A42="","",IF(OR($AK42&gt;=2,AND($AK42&gt;0,$AQ42=""),AND($AK42&gt;0,$AR42="")),"CRITICAL",IF(OR($AK42=1,AND(($AJ42)&gt;0,$AQ42=""),AND(($AJ42)&gt;0,$AR42=""),$AT42&lt;0.95),"REVIEW","OK")))</f>
        <v/>
      </c>
    </row>
    <row r="43" ht="18" customHeight="1" s="57">
      <c r="A43" s="87">
        <f>IF('Employee Master'!A43="","",'Employee Master'!A43)</f>
        <v/>
      </c>
      <c r="B43" s="88">
        <f>IF($A43="","",'Employee Master'!B43)</f>
        <v/>
      </c>
      <c r="C43" s="87">
        <f>IF($A43="","",'Employee Master'!C43)</f>
        <v/>
      </c>
      <c r="D43" s="121" t="inlineStr">
        <is>
          <t>UA</t>
        </is>
      </c>
      <c r="E43" s="121" t="inlineStr">
        <is>
          <t>UA</t>
        </is>
      </c>
      <c r="F43" s="121" t="inlineStr">
        <is>
          <t>UA</t>
        </is>
      </c>
      <c r="G43" s="121" t="inlineStr">
        <is>
          <t>UA</t>
        </is>
      </c>
      <c r="H43" s="121" t="inlineStr">
        <is>
          <t>UA</t>
        </is>
      </c>
      <c r="I43" s="121" t="inlineStr">
        <is>
          <t>UA</t>
        </is>
      </c>
      <c r="J43" s="121" t="inlineStr">
        <is>
          <t>UA</t>
        </is>
      </c>
      <c r="K43" s="121" t="inlineStr">
        <is>
          <t>UA</t>
        </is>
      </c>
      <c r="L43" s="121" t="inlineStr">
        <is>
          <t>UA</t>
        </is>
      </c>
      <c r="M43" s="121" t="inlineStr">
        <is>
          <t>UA</t>
        </is>
      </c>
      <c r="N43" s="121" t="inlineStr">
        <is>
          <t>UA</t>
        </is>
      </c>
      <c r="O43" s="121" t="inlineStr">
        <is>
          <t>UA</t>
        </is>
      </c>
      <c r="P43" s="121" t="inlineStr">
        <is>
          <t>UA</t>
        </is>
      </c>
      <c r="Q43" s="121" t="inlineStr">
        <is>
          <t>UA</t>
        </is>
      </c>
      <c r="R43" s="121" t="inlineStr">
        <is>
          <t>UA</t>
        </is>
      </c>
      <c r="S43" s="121" t="inlineStr">
        <is>
          <t>UA</t>
        </is>
      </c>
      <c r="T43" s="121" t="inlineStr">
        <is>
          <t>UA</t>
        </is>
      </c>
      <c r="U43" s="121" t="inlineStr">
        <is>
          <t>UA</t>
        </is>
      </c>
      <c r="V43" s="121" t="inlineStr">
        <is>
          <t>UA</t>
        </is>
      </c>
      <c r="W43" s="121" t="inlineStr">
        <is>
          <t>UA</t>
        </is>
      </c>
      <c r="X43" s="121" t="inlineStr">
        <is>
          <t>UA</t>
        </is>
      </c>
      <c r="Y43" s="121" t="inlineStr">
        <is>
          <t>UA</t>
        </is>
      </c>
      <c r="Z43" s="121" t="inlineStr">
        <is>
          <t>UA</t>
        </is>
      </c>
      <c r="AA43" s="121" t="inlineStr">
        <is>
          <t>UA</t>
        </is>
      </c>
      <c r="AB43" s="121" t="inlineStr">
        <is>
          <t>UA</t>
        </is>
      </c>
      <c r="AC43" s="121" t="inlineStr">
        <is>
          <t>UA</t>
        </is>
      </c>
      <c r="AD43" s="121" t="inlineStr">
        <is>
          <t>UA</t>
        </is>
      </c>
      <c r="AE43" s="121" t="inlineStr">
        <is>
          <t>UA</t>
        </is>
      </c>
      <c r="AF43" s="121" t="inlineStr">
        <is>
          <t>UA</t>
        </is>
      </c>
      <c r="AG43" s="121" t="inlineStr">
        <is>
          <t>UA</t>
        </is>
      </c>
      <c r="AH43" s="121" t="inlineStr">
        <is>
          <t>UA</t>
        </is>
      </c>
      <c r="AI43" s="70">
        <f>IF($A43="","",COUNTIF($D43:$AH43,"P"))</f>
        <v/>
      </c>
      <c r="AJ43" s="70">
        <f>IF($A43="","",COUNTIF($D43:$AH43,"AA")+COUNTIF($D43:$AH43,"SA")+COUNTIF($D43:$AH43,"EA")+COUNTIF($D43:$AH43,"OR")+COUNTIF($D43:$AH43,"WO")+COUNTIF($D43:$AH43,"H"))</f>
        <v/>
      </c>
      <c r="AK43" s="70">
        <f>IF($A43="","",COUNTIF($D43:$AH43,"UA"))</f>
        <v/>
      </c>
      <c r="AL43" s="70">
        <f>IF($A43="","",COUNTIF($D43:$AH43,"SA"))</f>
        <v/>
      </c>
      <c r="AM43" s="70">
        <f>IF($A43="","",COUNTIF($D43:$AH43,"EA"))</f>
        <v/>
      </c>
      <c r="AN43" s="70">
        <f>IF($A43="","",COUNTIF($D43:$AH43,"OR"))</f>
        <v/>
      </c>
      <c r="AO43" s="70">
        <f>IF($A43="","",COUNTIF($D43:$AH43,"WO"))</f>
        <v/>
      </c>
      <c r="AP43" s="70">
        <f>IF($A43="","",COUNTIF($D43:$AH43,"H"))</f>
        <v/>
      </c>
      <c r="AQ43" s="77" t="n"/>
      <c r="AR43" s="77" t="n"/>
      <c r="AS43" s="90">
        <f>IF(OR($A43="",$I$2=0),"",AI43/$I$2)</f>
        <v/>
      </c>
      <c r="AT43" s="90">
        <f>IF(OR($A43="",$I$2=0),"",(AI43+AJ43)/$I$2)</f>
        <v/>
      </c>
      <c r="AU43" s="70">
        <f>IF($A43="","",IF(OR($AK43&gt;=2,AND($AK43&gt;0,$AQ43=""),AND($AK43&gt;0,$AR43="")),"CRITICAL",IF(OR($AK43=1,AND(($AJ43)&gt;0,$AQ43=""),AND(($AJ43)&gt;0,$AR43=""),$AT43&lt;0.95),"REVIEW","OK")))</f>
        <v/>
      </c>
    </row>
    <row r="44" ht="18" customHeight="1" s="57">
      <c r="A44" s="87">
        <f>IF('Employee Master'!A44="","",'Employee Master'!A44)</f>
        <v/>
      </c>
      <c r="B44" s="88">
        <f>IF($A44="","",'Employee Master'!B44)</f>
        <v/>
      </c>
      <c r="C44" s="87">
        <f>IF($A44="","",'Employee Master'!C44)</f>
        <v/>
      </c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  <c r="AB44" s="89" t="n"/>
      <c r="AC44" s="89" t="n"/>
      <c r="AD44" s="89" t="n"/>
      <c r="AE44" s="89" t="n"/>
      <c r="AF44" s="89" t="n"/>
      <c r="AG44" s="89" t="n"/>
      <c r="AH44" s="89" t="n"/>
      <c r="AI44" s="70">
        <f>IF($A44="","",COUNTIF($D44:$AH44,"P"))</f>
        <v/>
      </c>
      <c r="AJ44" s="70">
        <f>IF($A44="","",COUNTIF($D44:$AH44,"AA")+COUNTIF($D44:$AH44,"SA")+COUNTIF($D44:$AH44,"EA")+COUNTIF($D44:$AH44,"OR")+COUNTIF($D44:$AH44,"WO")+COUNTIF($D44:$AH44,"H"))</f>
        <v/>
      </c>
      <c r="AK44" s="70">
        <f>IF($A44="","",COUNTIF($D44:$AH44,"UA"))</f>
        <v/>
      </c>
      <c r="AL44" s="70">
        <f>IF($A44="","",COUNTIF($D44:$AH44,"SA"))</f>
        <v/>
      </c>
      <c r="AM44" s="70">
        <f>IF($A44="","",COUNTIF($D44:$AH44,"EA"))</f>
        <v/>
      </c>
      <c r="AN44" s="70">
        <f>IF($A44="","",COUNTIF($D44:$AH44,"OR"))</f>
        <v/>
      </c>
      <c r="AO44" s="70">
        <f>IF($A44="","",COUNTIF($D44:$AH44,"WO"))</f>
        <v/>
      </c>
      <c r="AP44" s="70">
        <f>IF($A44="","",COUNTIF($D44:$AH44,"H"))</f>
        <v/>
      </c>
      <c r="AQ44" s="77" t="n"/>
      <c r="AR44" s="77" t="n"/>
      <c r="AS44" s="90">
        <f>IF(OR($A44="",$I$2=0),"",AI44/$I$2)</f>
        <v/>
      </c>
      <c r="AT44" s="90">
        <f>IF(OR($A44="",$I$2=0),"",(AI44+AJ44)/$I$2)</f>
        <v/>
      </c>
      <c r="AU44" s="70">
        <f>IF($A44="","",IF(OR($AK44&gt;=2,AND($AK44&gt;0,$AQ44=""),AND($AK44&gt;0,$AR44="")),"CRITICAL",IF(OR($AK44=1,AND(($AJ44)&gt;0,$AQ44=""),AND(($AJ44)&gt;0,$AR44=""),$AT44&lt;0.95),"REVIEW","OK")))</f>
        <v/>
      </c>
    </row>
    <row r="45" ht="18" customHeight="1" s="57">
      <c r="A45" s="87">
        <f>IF('Employee Master'!A45="","",'Employee Master'!A45)</f>
        <v/>
      </c>
      <c r="B45" s="88">
        <f>IF($A45="","",'Employee Master'!B45)</f>
        <v/>
      </c>
      <c r="C45" s="87">
        <f>IF($A45="","",'Employee Master'!C45)</f>
        <v/>
      </c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  <c r="AC45" s="89" t="n"/>
      <c r="AD45" s="89" t="n"/>
      <c r="AE45" s="89" t="n"/>
      <c r="AF45" s="89" t="n"/>
      <c r="AG45" s="89" t="n"/>
      <c r="AH45" s="89" t="n"/>
      <c r="AI45" s="70">
        <f>IF($A45="","",COUNTIF($D45:$AH45,"P"))</f>
        <v/>
      </c>
      <c r="AJ45" s="70">
        <f>IF($A45="","",COUNTIF($D45:$AH45,"AA")+COUNTIF($D45:$AH45,"SA")+COUNTIF($D45:$AH45,"EA")+COUNTIF($D45:$AH45,"OR")+COUNTIF($D45:$AH45,"WO")+COUNTIF($D45:$AH45,"H"))</f>
        <v/>
      </c>
      <c r="AK45" s="70">
        <f>IF($A45="","",COUNTIF($D45:$AH45,"UA"))</f>
        <v/>
      </c>
      <c r="AL45" s="70">
        <f>IF($A45="","",COUNTIF($D45:$AH45,"SA"))</f>
        <v/>
      </c>
      <c r="AM45" s="70">
        <f>IF($A45="","",COUNTIF($D45:$AH45,"EA"))</f>
        <v/>
      </c>
      <c r="AN45" s="70">
        <f>IF($A45="","",COUNTIF($D45:$AH45,"OR"))</f>
        <v/>
      </c>
      <c r="AO45" s="70">
        <f>IF($A45="","",COUNTIF($D45:$AH45,"WO"))</f>
        <v/>
      </c>
      <c r="AP45" s="70">
        <f>IF($A45="","",COUNTIF($D45:$AH45,"H"))</f>
        <v/>
      </c>
      <c r="AQ45" s="77" t="n"/>
      <c r="AR45" s="77" t="n"/>
      <c r="AS45" s="90">
        <f>IF(OR($A45="",$I$2=0),"",AI45/$I$2)</f>
        <v/>
      </c>
      <c r="AT45" s="90">
        <f>IF(OR($A45="",$I$2=0),"",(AI45+AJ45)/$I$2)</f>
        <v/>
      </c>
      <c r="AU45" s="70">
        <f>IF($A45="","",IF(OR($AK45&gt;=2,AND($AK45&gt;0,$AQ45=""),AND($AK45&gt;0,$AR45="")),"CRITICAL",IF(OR($AK45=1,AND(($AJ45)&gt;0,$AQ45=""),AND(($AJ45)&gt;0,$AR45=""),$AT45&lt;0.95),"REVIEW","OK")))</f>
        <v/>
      </c>
    </row>
    <row r="46" ht="18" customHeight="1" s="57">
      <c r="A46" s="87">
        <f>IF('Employee Master'!A46="","",'Employee Master'!A46)</f>
        <v/>
      </c>
      <c r="B46" s="88">
        <f>IF($A46="","",'Employee Master'!B46)</f>
        <v/>
      </c>
      <c r="C46" s="87">
        <f>IF($A46="","",'Employee Master'!C46)</f>
        <v/>
      </c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  <c r="AC46" s="89" t="n"/>
      <c r="AD46" s="89" t="n"/>
      <c r="AE46" s="89" t="n"/>
      <c r="AF46" s="89" t="n"/>
      <c r="AG46" s="89" t="n"/>
      <c r="AH46" s="89" t="n"/>
      <c r="AI46" s="70">
        <f>IF($A46="","",COUNTIF($D46:$AH46,"P"))</f>
        <v/>
      </c>
      <c r="AJ46" s="70">
        <f>IF($A46="","",COUNTIF($D46:$AH46,"AA")+COUNTIF($D46:$AH46,"SA")+COUNTIF($D46:$AH46,"EA")+COUNTIF($D46:$AH46,"OR")+COUNTIF($D46:$AH46,"WO")+COUNTIF($D46:$AH46,"H"))</f>
        <v/>
      </c>
      <c r="AK46" s="70">
        <f>IF($A46="","",COUNTIF($D46:$AH46,"UA"))</f>
        <v/>
      </c>
      <c r="AL46" s="70">
        <f>IF($A46="","",COUNTIF($D46:$AH46,"SA"))</f>
        <v/>
      </c>
      <c r="AM46" s="70">
        <f>IF($A46="","",COUNTIF($D46:$AH46,"EA"))</f>
        <v/>
      </c>
      <c r="AN46" s="70">
        <f>IF($A46="","",COUNTIF($D46:$AH46,"OR"))</f>
        <v/>
      </c>
      <c r="AO46" s="70">
        <f>IF($A46="","",COUNTIF($D46:$AH46,"WO"))</f>
        <v/>
      </c>
      <c r="AP46" s="70">
        <f>IF($A46="","",COUNTIF($D46:$AH46,"H"))</f>
        <v/>
      </c>
      <c r="AQ46" s="77" t="n"/>
      <c r="AR46" s="77" t="n"/>
      <c r="AS46" s="90">
        <f>IF(OR($A46="",$I$2=0),"",AI46/$I$2)</f>
        <v/>
      </c>
      <c r="AT46" s="90">
        <f>IF(OR($A46="",$I$2=0),"",(AI46+AJ46)/$I$2)</f>
        <v/>
      </c>
      <c r="AU46" s="70">
        <f>IF($A46="","",IF(OR($AK46&gt;=2,AND($AK46&gt;0,$AQ46=""),AND($AK46&gt;0,$AR46="")),"CRITICAL",IF(OR($AK46=1,AND(($AJ46)&gt;0,$AQ46=""),AND(($AJ46)&gt;0,$AR46=""),$AT46&lt;0.95),"REVIEW","OK")))</f>
        <v/>
      </c>
    </row>
    <row r="47" ht="18" customHeight="1" s="57">
      <c r="A47" s="87">
        <f>IF('Employee Master'!A47="","",'Employee Master'!A47)</f>
        <v/>
      </c>
      <c r="B47" s="88">
        <f>IF($A47="","",'Employee Master'!B47)</f>
        <v/>
      </c>
      <c r="C47" s="87">
        <f>IF($A47="","",'Employee Master'!C47)</f>
        <v/>
      </c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121" t="inlineStr">
        <is>
          <t>UA</t>
        </is>
      </c>
      <c r="Z47" s="121" t="inlineStr">
        <is>
          <t>UA</t>
        </is>
      </c>
      <c r="AA47" s="121" t="inlineStr">
        <is>
          <t>UA</t>
        </is>
      </c>
      <c r="AB47" s="121" t="inlineStr">
        <is>
          <t>UA</t>
        </is>
      </c>
      <c r="AC47" s="121" t="inlineStr">
        <is>
          <t>UA</t>
        </is>
      </c>
      <c r="AD47" s="121" t="inlineStr">
        <is>
          <t>UA</t>
        </is>
      </c>
      <c r="AE47" s="121" t="inlineStr">
        <is>
          <t>UA</t>
        </is>
      </c>
      <c r="AF47" s="121" t="inlineStr">
        <is>
          <t>UA</t>
        </is>
      </c>
      <c r="AG47" s="121" t="inlineStr">
        <is>
          <t>UA</t>
        </is>
      </c>
      <c r="AH47" s="121" t="inlineStr">
        <is>
          <t>UA</t>
        </is>
      </c>
      <c r="AI47" s="70">
        <f>IF($A47="","",COUNTIF($D47:$AH47,"P"))</f>
        <v/>
      </c>
      <c r="AJ47" s="70">
        <f>IF($A47="","",COUNTIF($D47:$AH47,"AA")+COUNTIF($D47:$AH47,"SA")+COUNTIF($D47:$AH47,"EA")+COUNTIF($D47:$AH47,"OR")+COUNTIF($D47:$AH47,"WO")+COUNTIF($D47:$AH47,"H"))</f>
        <v/>
      </c>
      <c r="AK47" s="70">
        <f>IF($A47="","",COUNTIF($D47:$AH47,"UA"))</f>
        <v/>
      </c>
      <c r="AL47" s="70">
        <f>IF($A47="","",COUNTIF($D47:$AH47,"SA"))</f>
        <v/>
      </c>
      <c r="AM47" s="70">
        <f>IF($A47="","",COUNTIF($D47:$AH47,"EA"))</f>
        <v/>
      </c>
      <c r="AN47" s="70">
        <f>IF($A47="","",COUNTIF($D47:$AH47,"OR"))</f>
        <v/>
      </c>
      <c r="AO47" s="70">
        <f>IF($A47="","",COUNTIF($D47:$AH47,"WO"))</f>
        <v/>
      </c>
      <c r="AP47" s="70">
        <f>IF($A47="","",COUNTIF($D47:$AH47,"H"))</f>
        <v/>
      </c>
      <c r="AQ47" s="77" t="n"/>
      <c r="AR47" s="77" t="n"/>
      <c r="AS47" s="90">
        <f>IF(OR($A47="",$I$2=0),"",AI47/$I$2)</f>
        <v/>
      </c>
      <c r="AT47" s="90">
        <f>IF(OR($A47="",$I$2=0),"",(AI47+AJ47)/$I$2)</f>
        <v/>
      </c>
      <c r="AU47" s="70">
        <f>IF($A47="","",IF(OR($AK47&gt;=2,AND($AK47&gt;0,$AQ47=""),AND($AK47&gt;0,$AR47="")),"CRITICAL",IF(OR($AK47=1,AND(($AJ47)&gt;0,$AQ47=""),AND(($AJ47)&gt;0,$AR47=""),$AT47&lt;0.95),"REVIEW","OK")))</f>
        <v/>
      </c>
    </row>
    <row r="48" ht="18" customHeight="1" s="57">
      <c r="A48" s="87">
        <f>IF('Employee Master'!A48="","",'Employee Master'!A48)</f>
        <v/>
      </c>
      <c r="B48" s="88">
        <f>IF($A48="","",'Employee Master'!B48)</f>
        <v/>
      </c>
      <c r="C48" s="87">
        <f>IF($A48="","",'Employee Master'!C48)</f>
        <v/>
      </c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70">
        <f>IF($A48="","",COUNTIF($D48:$AH48,"P"))</f>
        <v/>
      </c>
      <c r="AJ48" s="70">
        <f>IF($A48="","",COUNTIF($D48:$AH48,"AA")+COUNTIF($D48:$AH48,"SA")+COUNTIF($D48:$AH48,"EA")+COUNTIF($D48:$AH48,"OR")+COUNTIF($D48:$AH48,"WO")+COUNTIF($D48:$AH48,"H"))</f>
        <v/>
      </c>
      <c r="AK48" s="70">
        <f>IF($A48="","",COUNTIF($D48:$AH48,"UA"))</f>
        <v/>
      </c>
      <c r="AL48" s="70">
        <f>IF($A48="","",COUNTIF($D48:$AH48,"SA"))</f>
        <v/>
      </c>
      <c r="AM48" s="70">
        <f>IF($A48="","",COUNTIF($D48:$AH48,"EA"))</f>
        <v/>
      </c>
      <c r="AN48" s="70">
        <f>IF($A48="","",COUNTIF($D48:$AH48,"OR"))</f>
        <v/>
      </c>
      <c r="AO48" s="70">
        <f>IF($A48="","",COUNTIF($D48:$AH48,"WO"))</f>
        <v/>
      </c>
      <c r="AP48" s="70">
        <f>IF($A48="","",COUNTIF($D48:$AH48,"H"))</f>
        <v/>
      </c>
      <c r="AQ48" s="77" t="n"/>
      <c r="AR48" s="77" t="n"/>
      <c r="AS48" s="90">
        <f>IF(OR($A48="",$I$2=0),"",AI48/$I$2)</f>
        <v/>
      </c>
      <c r="AT48" s="90">
        <f>IF(OR($A48="",$I$2=0),"",(AI48+AJ48)/$I$2)</f>
        <v/>
      </c>
      <c r="AU48" s="70">
        <f>IF($A48="","",IF(OR($AK48&gt;=2,AND($AK48&gt;0,$AQ48=""),AND($AK48&gt;0,$AR48="")),"CRITICAL",IF(OR($AK48=1,AND(($AJ48)&gt;0,$AQ48=""),AND(($AJ48)&gt;0,$AR48=""),$AT48&lt;0.95),"REVIEW","OK")))</f>
        <v/>
      </c>
    </row>
    <row r="49" ht="18" customHeight="1" s="57">
      <c r="A49" s="87">
        <f>IF('Employee Master'!A49="","",'Employee Master'!A49)</f>
        <v/>
      </c>
      <c r="B49" s="88">
        <f>IF($A49="","",'Employee Master'!B49)</f>
        <v/>
      </c>
      <c r="C49" s="87">
        <f>IF($A49="","",'Employee Master'!C49)</f>
        <v/>
      </c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70">
        <f>IF($A49="","",COUNTIF($D49:$AH49,"P"))</f>
        <v/>
      </c>
      <c r="AJ49" s="70">
        <f>IF($A49="","",COUNTIF($D49:$AH49,"AA")+COUNTIF($D49:$AH49,"SA")+COUNTIF($D49:$AH49,"EA")+COUNTIF($D49:$AH49,"OR")+COUNTIF($D49:$AH49,"WO")+COUNTIF($D49:$AH49,"H"))</f>
        <v/>
      </c>
      <c r="AK49" s="70">
        <f>IF($A49="","",COUNTIF($D49:$AH49,"UA"))</f>
        <v/>
      </c>
      <c r="AL49" s="70">
        <f>IF($A49="","",COUNTIF($D49:$AH49,"SA"))</f>
        <v/>
      </c>
      <c r="AM49" s="70">
        <f>IF($A49="","",COUNTIF($D49:$AH49,"EA"))</f>
        <v/>
      </c>
      <c r="AN49" s="70">
        <f>IF($A49="","",COUNTIF($D49:$AH49,"OR"))</f>
        <v/>
      </c>
      <c r="AO49" s="70">
        <f>IF($A49="","",COUNTIF($D49:$AH49,"WO"))</f>
        <v/>
      </c>
      <c r="AP49" s="70">
        <f>IF($A49="","",COUNTIF($D49:$AH49,"H"))</f>
        <v/>
      </c>
      <c r="AQ49" s="77" t="n"/>
      <c r="AR49" s="77" t="n"/>
      <c r="AS49" s="90">
        <f>IF(OR($A49="",$I$2=0),"",AI49/$I$2)</f>
        <v/>
      </c>
      <c r="AT49" s="90">
        <f>IF(OR($A49="",$I$2=0),"",(AI49+AJ49)/$I$2)</f>
        <v/>
      </c>
      <c r="AU49" s="70">
        <f>IF($A49="","",IF(OR($AK49&gt;=2,AND($AK49&gt;0,$AQ49=""),AND($AK49&gt;0,$AR49="")),"CRITICAL",IF(OR($AK49=1,AND(($AJ49)&gt;0,$AQ49=""),AND(($AJ49)&gt;0,$AR49=""),$AT49&lt;0.95),"REVIEW","OK")))</f>
        <v/>
      </c>
    </row>
    <row r="50" ht="18" customHeight="1" s="57">
      <c r="A50" s="87">
        <f>IF('Employee Master'!A50="","",'Employee Master'!A50)</f>
        <v/>
      </c>
      <c r="B50" s="88">
        <f>IF($A50="","",'Employee Master'!B50)</f>
        <v/>
      </c>
      <c r="C50" s="87">
        <f>IF($A50="","",'Employee Master'!C50)</f>
        <v/>
      </c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70">
        <f>IF($A50="","",COUNTIF($D50:$AH50,"P"))</f>
        <v/>
      </c>
      <c r="AJ50" s="70">
        <f>IF($A50="","",COUNTIF($D50:$AH50,"AA")+COUNTIF($D50:$AH50,"SA")+COUNTIF($D50:$AH50,"EA")+COUNTIF($D50:$AH50,"OR")+COUNTIF($D50:$AH50,"WO")+COUNTIF($D50:$AH50,"H"))</f>
        <v/>
      </c>
      <c r="AK50" s="70">
        <f>IF($A50="","",COUNTIF($D50:$AH50,"UA"))</f>
        <v/>
      </c>
      <c r="AL50" s="70">
        <f>IF($A50="","",COUNTIF($D50:$AH50,"SA"))</f>
        <v/>
      </c>
      <c r="AM50" s="70">
        <f>IF($A50="","",COUNTIF($D50:$AH50,"EA"))</f>
        <v/>
      </c>
      <c r="AN50" s="70">
        <f>IF($A50="","",COUNTIF($D50:$AH50,"OR"))</f>
        <v/>
      </c>
      <c r="AO50" s="70">
        <f>IF($A50="","",COUNTIF($D50:$AH50,"WO"))</f>
        <v/>
      </c>
      <c r="AP50" s="70">
        <f>IF($A50="","",COUNTIF($D50:$AH50,"H"))</f>
        <v/>
      </c>
      <c r="AQ50" s="77" t="n"/>
      <c r="AR50" s="77" t="n"/>
      <c r="AS50" s="90">
        <f>IF(OR($A50="",$I$2=0),"",AI50/$I$2)</f>
        <v/>
      </c>
      <c r="AT50" s="90">
        <f>IF(OR($A50="",$I$2=0),"",(AI50+AJ50)/$I$2)</f>
        <v/>
      </c>
      <c r="AU50" s="70">
        <f>IF($A50="","",IF(OR($AK50&gt;=2,AND($AK50&gt;0,$AQ50=""),AND($AK50&gt;0,$AR50="")),"CRITICAL",IF(OR($AK50=1,AND(($AJ50)&gt;0,$AQ50=""),AND(($AJ50)&gt;0,$AR50=""),$AT50&lt;0.95),"REVIEW","OK")))</f>
        <v/>
      </c>
    </row>
    <row r="51" ht="18" customHeight="1" s="57">
      <c r="A51" s="87">
        <f>IF('Employee Master'!A51="","",'Employee Master'!A51)</f>
        <v/>
      </c>
      <c r="B51" s="88">
        <f>IF($A51="","",'Employee Master'!B51)</f>
        <v/>
      </c>
      <c r="C51" s="87">
        <f>IF($A51="","",'Employee Master'!C51)</f>
        <v/>
      </c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70">
        <f>IF($A51="","",COUNTIF($D51:$AH51,"P"))</f>
        <v/>
      </c>
      <c r="AJ51" s="70">
        <f>IF($A51="","",COUNTIF($D51:$AH51,"AA")+COUNTIF($D51:$AH51,"SA")+COUNTIF($D51:$AH51,"EA")+COUNTIF($D51:$AH51,"OR")+COUNTIF($D51:$AH51,"WO")+COUNTIF($D51:$AH51,"H"))</f>
        <v/>
      </c>
      <c r="AK51" s="70">
        <f>IF($A51="","",COUNTIF($D51:$AH51,"UA"))</f>
        <v/>
      </c>
      <c r="AL51" s="70">
        <f>IF($A51="","",COUNTIF($D51:$AH51,"SA"))</f>
        <v/>
      </c>
      <c r="AM51" s="70">
        <f>IF($A51="","",COUNTIF($D51:$AH51,"EA"))</f>
        <v/>
      </c>
      <c r="AN51" s="70">
        <f>IF($A51="","",COUNTIF($D51:$AH51,"OR"))</f>
        <v/>
      </c>
      <c r="AO51" s="70">
        <f>IF($A51="","",COUNTIF($D51:$AH51,"WO"))</f>
        <v/>
      </c>
      <c r="AP51" s="70">
        <f>IF($A51="","",COUNTIF($D51:$AH51,"H"))</f>
        <v/>
      </c>
      <c r="AQ51" s="77" t="n"/>
      <c r="AR51" s="77" t="n"/>
      <c r="AS51" s="90">
        <f>IF(OR($A51="",$I$2=0),"",AI51/$I$2)</f>
        <v/>
      </c>
      <c r="AT51" s="90">
        <f>IF(OR($A51="",$I$2=0),"",(AI51+AJ51)/$I$2)</f>
        <v/>
      </c>
      <c r="AU51" s="70">
        <f>IF($A51="","",IF(OR($AK51&gt;=2,AND($AK51&gt;0,$AQ51=""),AND($AK51&gt;0,$AR51="")),"CRITICAL",IF(OR($AK51=1,AND(($AJ51)&gt;0,$AQ51=""),AND(($AJ51)&gt;0,$AR51=""),$AT51&lt;0.95),"REVIEW","OK")))</f>
        <v/>
      </c>
    </row>
    <row r="52" ht="18" customHeight="1" s="57">
      <c r="A52" s="87">
        <f>IF('Employee Master'!A52="","",'Employee Master'!A52)</f>
        <v/>
      </c>
      <c r="B52" s="88">
        <f>IF($A52="","",'Employee Master'!B52)</f>
        <v/>
      </c>
      <c r="C52" s="87">
        <f>IF($A52="","",'Employee Master'!C52)</f>
        <v/>
      </c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121" t="inlineStr">
        <is>
          <t>UA</t>
        </is>
      </c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70">
        <f>IF($A52="","",COUNTIF($D52:$AH52,"P"))</f>
        <v/>
      </c>
      <c r="AJ52" s="70">
        <f>IF($A52="","",COUNTIF($D52:$AH52,"AA")+COUNTIF($D52:$AH52,"SA")+COUNTIF($D52:$AH52,"EA")+COUNTIF($D52:$AH52,"OR")+COUNTIF($D52:$AH52,"WO")+COUNTIF($D52:$AH52,"H"))</f>
        <v/>
      </c>
      <c r="AK52" s="70">
        <f>IF($A52="","",COUNTIF($D52:$AH52,"UA"))</f>
        <v/>
      </c>
      <c r="AL52" s="70">
        <f>IF($A52="","",COUNTIF($D52:$AH52,"SA"))</f>
        <v/>
      </c>
      <c r="AM52" s="70">
        <f>IF($A52="","",COUNTIF($D52:$AH52,"EA"))</f>
        <v/>
      </c>
      <c r="AN52" s="70">
        <f>IF($A52="","",COUNTIF($D52:$AH52,"OR"))</f>
        <v/>
      </c>
      <c r="AO52" s="70">
        <f>IF($A52="","",COUNTIF($D52:$AH52,"WO"))</f>
        <v/>
      </c>
      <c r="AP52" s="70">
        <f>IF($A52="","",COUNTIF($D52:$AH52,"H"))</f>
        <v/>
      </c>
      <c r="AQ52" s="77" t="n"/>
      <c r="AR52" s="77" t="n"/>
      <c r="AS52" s="90">
        <f>IF(OR($A52="",$I$2=0),"",AI52/$I$2)</f>
        <v/>
      </c>
      <c r="AT52" s="90">
        <f>IF(OR($A52="",$I$2=0),"",(AI52+AJ52)/$I$2)</f>
        <v/>
      </c>
      <c r="AU52" s="70">
        <f>IF($A52="","",IF(OR($AK52&gt;=2,AND($AK52&gt;0,$AQ52=""),AND($AK52&gt;0,$AR52="")),"CRITICAL",IF(OR($AK52=1,AND(($AJ52)&gt;0,$AQ52=""),AND(($AJ52)&gt;0,$AR52=""),$AT52&lt;0.95),"REVIEW","OK")))</f>
        <v/>
      </c>
    </row>
    <row r="53" ht="18" customHeight="1" s="57">
      <c r="A53" s="87">
        <f>IF('Employee Master'!A53="","",'Employee Master'!A53)</f>
        <v/>
      </c>
      <c r="B53" s="88">
        <f>IF($A53="","",'Employee Master'!B53)</f>
        <v/>
      </c>
      <c r="C53" s="87">
        <f>IF($A53="","",'Employee Master'!C53)</f>
        <v/>
      </c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70">
        <f>IF($A53="","",COUNTIF($D53:$AH53,"P"))</f>
        <v/>
      </c>
      <c r="AJ53" s="70">
        <f>IF($A53="","",COUNTIF($D53:$AH53,"AA")+COUNTIF($D53:$AH53,"SA")+COUNTIF($D53:$AH53,"EA")+COUNTIF($D53:$AH53,"OR")+COUNTIF($D53:$AH53,"WO")+COUNTIF($D53:$AH53,"H"))</f>
        <v/>
      </c>
      <c r="AK53" s="70">
        <f>IF($A53="","",COUNTIF($D53:$AH53,"UA"))</f>
        <v/>
      </c>
      <c r="AL53" s="70">
        <f>IF($A53="","",COUNTIF($D53:$AH53,"SA"))</f>
        <v/>
      </c>
      <c r="AM53" s="70">
        <f>IF($A53="","",COUNTIF($D53:$AH53,"EA"))</f>
        <v/>
      </c>
      <c r="AN53" s="70">
        <f>IF($A53="","",COUNTIF($D53:$AH53,"OR"))</f>
        <v/>
      </c>
      <c r="AO53" s="70">
        <f>IF($A53="","",COUNTIF($D53:$AH53,"WO"))</f>
        <v/>
      </c>
      <c r="AP53" s="70">
        <f>IF($A53="","",COUNTIF($D53:$AH53,"H"))</f>
        <v/>
      </c>
      <c r="AQ53" s="77" t="n"/>
      <c r="AR53" s="77" t="n"/>
      <c r="AS53" s="90">
        <f>IF(OR($A53="",$I$2=0),"",AI53/$I$2)</f>
        <v/>
      </c>
      <c r="AT53" s="90">
        <f>IF(OR($A53="",$I$2=0),"",(AI53+AJ53)/$I$2)</f>
        <v/>
      </c>
      <c r="AU53" s="70">
        <f>IF($A53="","",IF(OR($AK53&gt;=2,AND($AK53&gt;0,$AQ53=""),AND($AK53&gt;0,$AR53="")),"CRITICAL",IF(OR($AK53=1,AND(($AJ53)&gt;0,$AQ53=""),AND(($AJ53)&gt;0,$AR53=""),$AT53&lt;0.95),"REVIEW","OK")))</f>
        <v/>
      </c>
    </row>
    <row r="54" ht="18" customHeight="1" s="57">
      <c r="A54" s="87">
        <f>IF('Employee Master'!A54="","",'Employee Master'!A54)</f>
        <v/>
      </c>
      <c r="B54" s="88">
        <f>IF($A54="","",'Employee Master'!B54)</f>
        <v/>
      </c>
      <c r="C54" s="87">
        <f>IF($A54="","",'Employee Master'!C54)</f>
        <v/>
      </c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70">
        <f>IF($A54="","",COUNTIF($D54:$AH54,"P"))</f>
        <v/>
      </c>
      <c r="AJ54" s="70">
        <f>IF($A54="","",COUNTIF($D54:$AH54,"AA")+COUNTIF($D54:$AH54,"SA")+COUNTIF($D54:$AH54,"EA")+COUNTIF($D54:$AH54,"OR")+COUNTIF($D54:$AH54,"WO")+COUNTIF($D54:$AH54,"H"))</f>
        <v/>
      </c>
      <c r="AK54" s="70">
        <f>IF($A54="","",COUNTIF($D54:$AH54,"UA"))</f>
        <v/>
      </c>
      <c r="AL54" s="70">
        <f>IF($A54="","",COUNTIF($D54:$AH54,"SA"))</f>
        <v/>
      </c>
      <c r="AM54" s="70">
        <f>IF($A54="","",COUNTIF($D54:$AH54,"EA"))</f>
        <v/>
      </c>
      <c r="AN54" s="70">
        <f>IF($A54="","",COUNTIF($D54:$AH54,"OR"))</f>
        <v/>
      </c>
      <c r="AO54" s="70">
        <f>IF($A54="","",COUNTIF($D54:$AH54,"WO"))</f>
        <v/>
      </c>
      <c r="AP54" s="70">
        <f>IF($A54="","",COUNTIF($D54:$AH54,"H"))</f>
        <v/>
      </c>
      <c r="AQ54" s="77" t="n"/>
      <c r="AR54" s="77" t="n"/>
      <c r="AS54" s="90">
        <f>IF(OR($A54="",$I$2=0),"",AI54/$I$2)</f>
        <v/>
      </c>
      <c r="AT54" s="90">
        <f>IF(OR($A54="",$I$2=0),"",(AI54+AJ54)/$I$2)</f>
        <v/>
      </c>
      <c r="AU54" s="70">
        <f>IF($A54="","",IF(OR($AK54&gt;=2,AND($AK54&gt;0,$AQ54=""),AND($AK54&gt;0,$AR54="")),"CRITICAL",IF(OR($AK54=1,AND(($AJ54)&gt;0,$AQ54=""),AND(($AJ54)&gt;0,$AR54=""),$AT54&lt;0.95),"REVIEW","OK")))</f>
        <v/>
      </c>
    </row>
    <row r="55" ht="18" customHeight="1" s="57">
      <c r="A55" s="87">
        <f>IF('Employee Master'!A55="","",'Employee Master'!A55)</f>
        <v/>
      </c>
      <c r="B55" s="88">
        <f>IF($A55="","",'Employee Master'!B55)</f>
        <v/>
      </c>
      <c r="C55" s="87">
        <f>IF($A55="","",'Employee Master'!C55)</f>
        <v/>
      </c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70">
        <f>IF($A55="","",COUNTIF($D55:$AH55,"P"))</f>
        <v/>
      </c>
      <c r="AJ55" s="70">
        <f>IF($A55="","",COUNTIF($D55:$AH55,"AA")+COUNTIF($D55:$AH55,"SA")+COUNTIF($D55:$AH55,"EA")+COUNTIF($D55:$AH55,"OR")+COUNTIF($D55:$AH55,"WO")+COUNTIF($D55:$AH55,"H"))</f>
        <v/>
      </c>
      <c r="AK55" s="70">
        <f>IF($A55="","",COUNTIF($D55:$AH55,"UA"))</f>
        <v/>
      </c>
      <c r="AL55" s="70">
        <f>IF($A55="","",COUNTIF($D55:$AH55,"SA"))</f>
        <v/>
      </c>
      <c r="AM55" s="70">
        <f>IF($A55="","",COUNTIF($D55:$AH55,"EA"))</f>
        <v/>
      </c>
      <c r="AN55" s="70">
        <f>IF($A55="","",COUNTIF($D55:$AH55,"OR"))</f>
        <v/>
      </c>
      <c r="AO55" s="70">
        <f>IF($A55="","",COUNTIF($D55:$AH55,"WO"))</f>
        <v/>
      </c>
      <c r="AP55" s="70">
        <f>IF($A55="","",COUNTIF($D55:$AH55,"H"))</f>
        <v/>
      </c>
      <c r="AQ55" s="77" t="n"/>
      <c r="AR55" s="77" t="n"/>
      <c r="AS55" s="90">
        <f>IF(OR($A55="",$I$2=0),"",AI55/$I$2)</f>
        <v/>
      </c>
      <c r="AT55" s="90">
        <f>IF(OR($A55="",$I$2=0),"",(AI55+AJ55)/$I$2)</f>
        <v/>
      </c>
      <c r="AU55" s="70">
        <f>IF($A55="","",IF(OR($AK55&gt;=2,AND($AK55&gt;0,$AQ55=""),AND($AK55&gt;0,$AR55="")),"CRITICAL",IF(OR($AK55=1,AND(($AJ55)&gt;0,$AQ55=""),AND(($AJ55)&gt;0,$AR55=""),$AT55&lt;0.95),"REVIEW","OK")))</f>
        <v/>
      </c>
    </row>
    <row r="56" ht="18" customHeight="1" s="57">
      <c r="A56" s="87">
        <f>IF('Employee Master'!A56="","",'Employee Master'!A56)</f>
        <v/>
      </c>
      <c r="B56" s="88">
        <f>IF($A56="","",'Employee Master'!B56)</f>
        <v/>
      </c>
      <c r="C56" s="87">
        <f>IF($A56="","",'Employee Master'!C56)</f>
        <v/>
      </c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70">
        <f>IF($A56="","",COUNTIF($D56:$AH56,"P"))</f>
        <v/>
      </c>
      <c r="AJ56" s="70">
        <f>IF($A56="","",COUNTIF($D56:$AH56,"AA")+COUNTIF($D56:$AH56,"SA")+COUNTIF($D56:$AH56,"EA")+COUNTIF($D56:$AH56,"OR")+COUNTIF($D56:$AH56,"WO")+COUNTIF($D56:$AH56,"H"))</f>
        <v/>
      </c>
      <c r="AK56" s="70">
        <f>IF($A56="","",COUNTIF($D56:$AH56,"UA"))</f>
        <v/>
      </c>
      <c r="AL56" s="70">
        <f>IF($A56="","",COUNTIF($D56:$AH56,"SA"))</f>
        <v/>
      </c>
      <c r="AM56" s="70">
        <f>IF($A56="","",COUNTIF($D56:$AH56,"EA"))</f>
        <v/>
      </c>
      <c r="AN56" s="70">
        <f>IF($A56="","",COUNTIF($D56:$AH56,"OR"))</f>
        <v/>
      </c>
      <c r="AO56" s="70">
        <f>IF($A56="","",COUNTIF($D56:$AH56,"WO"))</f>
        <v/>
      </c>
      <c r="AP56" s="70">
        <f>IF($A56="","",COUNTIF($D56:$AH56,"H"))</f>
        <v/>
      </c>
      <c r="AQ56" s="77" t="n"/>
      <c r="AR56" s="77" t="n"/>
      <c r="AS56" s="90">
        <f>IF(OR($A56="",$I$2=0),"",AI56/$I$2)</f>
        <v/>
      </c>
      <c r="AT56" s="90">
        <f>IF(OR($A56="",$I$2=0),"",(AI56+AJ56)/$I$2)</f>
        <v/>
      </c>
      <c r="AU56" s="70">
        <f>IF($A56="","",IF(OR($AK56&gt;=2,AND($AK56&gt;0,$AQ56=""),AND($AK56&gt;0,$AR56="")),"CRITICAL",IF(OR($AK56=1,AND(($AJ56)&gt;0,$AQ56=""),AND(($AJ56)&gt;0,$AR56=""),$AT56&lt;0.95),"REVIEW","OK")))</f>
        <v/>
      </c>
    </row>
    <row r="57" ht="18" customHeight="1" s="57">
      <c r="A57" s="87">
        <f>IF('Employee Master'!A57="","",'Employee Master'!A57)</f>
        <v/>
      </c>
      <c r="B57" s="88">
        <f>IF($A57="","",'Employee Master'!B57)</f>
        <v/>
      </c>
      <c r="C57" s="87">
        <f>IF($A57="","",'Employee Master'!C57)</f>
        <v/>
      </c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70">
        <f>IF($A57="","",COUNTIF($D57:$AH57,"P"))</f>
        <v/>
      </c>
      <c r="AJ57" s="70">
        <f>IF($A57="","",COUNTIF($D57:$AH57,"AA")+COUNTIF($D57:$AH57,"SA")+COUNTIF($D57:$AH57,"EA")+COUNTIF($D57:$AH57,"OR")+COUNTIF($D57:$AH57,"WO")+COUNTIF($D57:$AH57,"H"))</f>
        <v/>
      </c>
      <c r="AK57" s="70">
        <f>IF($A57="","",COUNTIF($D57:$AH57,"UA"))</f>
        <v/>
      </c>
      <c r="AL57" s="70">
        <f>IF($A57="","",COUNTIF($D57:$AH57,"SA"))</f>
        <v/>
      </c>
      <c r="AM57" s="70">
        <f>IF($A57="","",COUNTIF($D57:$AH57,"EA"))</f>
        <v/>
      </c>
      <c r="AN57" s="70">
        <f>IF($A57="","",COUNTIF($D57:$AH57,"OR"))</f>
        <v/>
      </c>
      <c r="AO57" s="70">
        <f>IF($A57="","",COUNTIF($D57:$AH57,"WO"))</f>
        <v/>
      </c>
      <c r="AP57" s="70">
        <f>IF($A57="","",COUNTIF($D57:$AH57,"H"))</f>
        <v/>
      </c>
      <c r="AQ57" s="77" t="n"/>
      <c r="AR57" s="77" t="n"/>
      <c r="AS57" s="90">
        <f>IF(OR($A57="",$I$2=0),"",AI57/$I$2)</f>
        <v/>
      </c>
      <c r="AT57" s="90">
        <f>IF(OR($A57="",$I$2=0),"",(AI57+AJ57)/$I$2)</f>
        <v/>
      </c>
      <c r="AU57" s="70">
        <f>IF($A57="","",IF(OR($AK57&gt;=2,AND($AK57&gt;0,$AQ57=""),AND($AK57&gt;0,$AR57="")),"CRITICAL",IF(OR($AK57=1,AND(($AJ57)&gt;0,$AQ57=""),AND(($AJ57)&gt;0,$AR57=""),$AT57&lt;0.95),"REVIEW","OK")))</f>
        <v/>
      </c>
    </row>
    <row r="58" ht="18" customHeight="1" s="57">
      <c r="A58" s="87">
        <f>IF('Employee Master'!A58="","",'Employee Master'!A58)</f>
        <v/>
      </c>
      <c r="B58" s="88">
        <f>IF($A58="","",'Employee Master'!B58)</f>
        <v/>
      </c>
      <c r="C58" s="87">
        <f>IF($A58="","",'Employee Master'!C58)</f>
        <v/>
      </c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70">
        <f>IF($A58="","",COUNTIF($D58:$AH58,"P"))</f>
        <v/>
      </c>
      <c r="AJ58" s="70">
        <f>IF($A58="","",COUNTIF($D58:$AH58,"AA")+COUNTIF($D58:$AH58,"SA")+COUNTIF($D58:$AH58,"EA")+COUNTIF($D58:$AH58,"OR")+COUNTIF($D58:$AH58,"WO")+COUNTIF($D58:$AH58,"H"))</f>
        <v/>
      </c>
      <c r="AK58" s="70">
        <f>IF($A58="","",COUNTIF($D58:$AH58,"UA"))</f>
        <v/>
      </c>
      <c r="AL58" s="70">
        <f>IF($A58="","",COUNTIF($D58:$AH58,"SA"))</f>
        <v/>
      </c>
      <c r="AM58" s="70">
        <f>IF($A58="","",COUNTIF($D58:$AH58,"EA"))</f>
        <v/>
      </c>
      <c r="AN58" s="70">
        <f>IF($A58="","",COUNTIF($D58:$AH58,"OR"))</f>
        <v/>
      </c>
      <c r="AO58" s="70">
        <f>IF($A58="","",COUNTIF($D58:$AH58,"WO"))</f>
        <v/>
      </c>
      <c r="AP58" s="70">
        <f>IF($A58="","",COUNTIF($D58:$AH58,"H"))</f>
        <v/>
      </c>
      <c r="AQ58" s="77" t="n"/>
      <c r="AR58" s="77" t="n"/>
      <c r="AS58" s="90">
        <f>IF(OR($A58="",$I$2=0),"",AI58/$I$2)</f>
        <v/>
      </c>
      <c r="AT58" s="90">
        <f>IF(OR($A58="",$I$2=0),"",(AI58+AJ58)/$I$2)</f>
        <v/>
      </c>
      <c r="AU58" s="70">
        <f>IF($A58="","",IF(OR($AK58&gt;=2,AND($AK58&gt;0,$AQ58=""),AND($AK58&gt;0,$AR58="")),"CRITICAL",IF(OR($AK58=1,AND(($AJ58)&gt;0,$AQ58=""),AND(($AJ58)&gt;0,$AR58=""),$AT58&lt;0.95),"REVIEW","OK")))</f>
        <v/>
      </c>
    </row>
    <row r="59" ht="18" customHeight="1" s="57">
      <c r="A59" s="87">
        <f>IF('Employee Master'!A59="","",'Employee Master'!A59)</f>
        <v/>
      </c>
      <c r="B59" s="88">
        <f>IF($A59="","",'Employee Master'!B59)</f>
        <v/>
      </c>
      <c r="C59" s="87">
        <f>IF($A59="","",'Employee Master'!C59)</f>
        <v/>
      </c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70">
        <f>IF($A59="","",COUNTIF($D59:$AH59,"P"))</f>
        <v/>
      </c>
      <c r="AJ59" s="70">
        <f>IF($A59="","",COUNTIF($D59:$AH59,"AA")+COUNTIF($D59:$AH59,"SA")+COUNTIF($D59:$AH59,"EA")+COUNTIF($D59:$AH59,"OR")+COUNTIF($D59:$AH59,"WO")+COUNTIF($D59:$AH59,"H"))</f>
        <v/>
      </c>
      <c r="AK59" s="70">
        <f>IF($A59="","",COUNTIF($D59:$AH59,"UA"))</f>
        <v/>
      </c>
      <c r="AL59" s="70">
        <f>IF($A59="","",COUNTIF($D59:$AH59,"SA"))</f>
        <v/>
      </c>
      <c r="AM59" s="70">
        <f>IF($A59="","",COUNTIF($D59:$AH59,"EA"))</f>
        <v/>
      </c>
      <c r="AN59" s="70">
        <f>IF($A59="","",COUNTIF($D59:$AH59,"OR"))</f>
        <v/>
      </c>
      <c r="AO59" s="70">
        <f>IF($A59="","",COUNTIF($D59:$AH59,"WO"))</f>
        <v/>
      </c>
      <c r="AP59" s="70">
        <f>IF($A59="","",COUNTIF($D59:$AH59,"H"))</f>
        <v/>
      </c>
      <c r="AQ59" s="77" t="n"/>
      <c r="AR59" s="77" t="n"/>
      <c r="AS59" s="90">
        <f>IF(OR($A59="",$I$2=0),"",AI59/$I$2)</f>
        <v/>
      </c>
      <c r="AT59" s="90">
        <f>IF(OR($A59="",$I$2=0),"",(AI59+AJ59)/$I$2)</f>
        <v/>
      </c>
      <c r="AU59" s="70">
        <f>IF($A59="","",IF(OR($AK59&gt;=2,AND($AK59&gt;0,$AQ59=""),AND($AK59&gt;0,$AR59="")),"CRITICAL",IF(OR($AK59=1,AND(($AJ59)&gt;0,$AQ59=""),AND(($AJ59)&gt;0,$AR59=""),$AT59&lt;0.95),"REVIEW","OK")))</f>
        <v/>
      </c>
    </row>
    <row r="60" ht="18" customHeight="1" s="57">
      <c r="A60" s="87">
        <f>IF('Employee Master'!A60="","",'Employee Master'!A60)</f>
        <v/>
      </c>
      <c r="B60" s="88">
        <f>IF($A60="","",'Employee Master'!B60)</f>
        <v/>
      </c>
      <c r="C60" s="87">
        <f>IF($A60="","",'Employee Master'!C60)</f>
        <v/>
      </c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121" t="inlineStr">
        <is>
          <t>UA</t>
        </is>
      </c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70">
        <f>IF($A60="","",COUNTIF($D60:$AH60,"P"))</f>
        <v/>
      </c>
      <c r="AJ60" s="70">
        <f>IF($A60="","",COUNTIF($D60:$AH60,"AA")+COUNTIF($D60:$AH60,"SA")+COUNTIF($D60:$AH60,"EA")+COUNTIF($D60:$AH60,"OR")+COUNTIF($D60:$AH60,"WO")+COUNTIF($D60:$AH60,"H"))</f>
        <v/>
      </c>
      <c r="AK60" s="70">
        <f>IF($A60="","",COUNTIF($D60:$AH60,"UA"))</f>
        <v/>
      </c>
      <c r="AL60" s="70">
        <f>IF($A60="","",COUNTIF($D60:$AH60,"SA"))</f>
        <v/>
      </c>
      <c r="AM60" s="70">
        <f>IF($A60="","",COUNTIF($D60:$AH60,"EA"))</f>
        <v/>
      </c>
      <c r="AN60" s="70">
        <f>IF($A60="","",COUNTIF($D60:$AH60,"OR"))</f>
        <v/>
      </c>
      <c r="AO60" s="70">
        <f>IF($A60="","",COUNTIF($D60:$AH60,"WO"))</f>
        <v/>
      </c>
      <c r="AP60" s="70">
        <f>IF($A60="","",COUNTIF($D60:$AH60,"H"))</f>
        <v/>
      </c>
      <c r="AQ60" s="77" t="n"/>
      <c r="AR60" s="77" t="n"/>
      <c r="AS60" s="90">
        <f>IF(OR($A60="",$I$2=0),"",AI60/$I$2)</f>
        <v/>
      </c>
      <c r="AT60" s="90">
        <f>IF(OR($A60="",$I$2=0),"",(AI60+AJ60)/$I$2)</f>
        <v/>
      </c>
      <c r="AU60" s="70">
        <f>IF($A60="","",IF(OR($AK60&gt;=2,AND($AK60&gt;0,$AQ60=""),AND($AK60&gt;0,$AR60="")),"CRITICAL",IF(OR($AK60=1,AND(($AJ60)&gt;0,$AQ60=""),AND(($AJ60)&gt;0,$AR60=""),$AT60&lt;0.95),"REVIEW","OK")))</f>
        <v/>
      </c>
    </row>
    <row r="61" ht="18" customHeight="1" s="57">
      <c r="A61" s="87">
        <f>IF('Employee Master'!A61="","",'Employee Master'!A61)</f>
        <v/>
      </c>
      <c r="B61" s="88">
        <f>IF($A61="","",'Employee Master'!B61)</f>
        <v/>
      </c>
      <c r="C61" s="87">
        <f>IF($A61="","",'Employee Master'!C61)</f>
        <v/>
      </c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70">
        <f>IF($A61="","",COUNTIF($D61:$AH61,"P"))</f>
        <v/>
      </c>
      <c r="AJ61" s="70">
        <f>IF($A61="","",COUNTIF($D61:$AH61,"AA")+COUNTIF($D61:$AH61,"SA")+COUNTIF($D61:$AH61,"EA")+COUNTIF($D61:$AH61,"OR")+COUNTIF($D61:$AH61,"WO")+COUNTIF($D61:$AH61,"H"))</f>
        <v/>
      </c>
      <c r="AK61" s="70">
        <f>IF($A61="","",COUNTIF($D61:$AH61,"UA"))</f>
        <v/>
      </c>
      <c r="AL61" s="70">
        <f>IF($A61="","",COUNTIF($D61:$AH61,"SA"))</f>
        <v/>
      </c>
      <c r="AM61" s="70">
        <f>IF($A61="","",COUNTIF($D61:$AH61,"EA"))</f>
        <v/>
      </c>
      <c r="AN61" s="70">
        <f>IF($A61="","",COUNTIF($D61:$AH61,"OR"))</f>
        <v/>
      </c>
      <c r="AO61" s="70">
        <f>IF($A61="","",COUNTIF($D61:$AH61,"WO"))</f>
        <v/>
      </c>
      <c r="AP61" s="70">
        <f>IF($A61="","",COUNTIF($D61:$AH61,"H"))</f>
        <v/>
      </c>
      <c r="AQ61" s="77" t="n"/>
      <c r="AR61" s="77" t="n"/>
      <c r="AS61" s="90">
        <f>IF(OR($A61="",$I$2=0),"",AI61/$I$2)</f>
        <v/>
      </c>
      <c r="AT61" s="90">
        <f>IF(OR($A61="",$I$2=0),"",(AI61+AJ61)/$I$2)</f>
        <v/>
      </c>
      <c r="AU61" s="70">
        <f>IF($A61="","",IF(OR($AK61&gt;=2,AND($AK61&gt;0,$AQ61=""),AND($AK61&gt;0,$AR61="")),"CRITICAL",IF(OR($AK61=1,AND(($AJ61)&gt;0,$AQ61=""),AND(($AJ61)&gt;0,$AR61=""),$AT61&lt;0.95),"REVIEW","OK")))</f>
        <v/>
      </c>
    </row>
    <row r="62" ht="18" customHeight="1" s="57">
      <c r="A62" s="87">
        <f>IF('Employee Master'!A62="","",'Employee Master'!A62)</f>
        <v/>
      </c>
      <c r="B62" s="88">
        <f>IF($A62="","",'Employee Master'!B62)</f>
        <v/>
      </c>
      <c r="C62" s="87">
        <f>IF($A62="","",'Employee Master'!C62)</f>
        <v/>
      </c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121" t="inlineStr">
        <is>
          <t>UA</t>
        </is>
      </c>
      <c r="X62" s="121" t="inlineStr">
        <is>
          <t>UA</t>
        </is>
      </c>
      <c r="Y62" s="121" t="inlineStr">
        <is>
          <t>UA</t>
        </is>
      </c>
      <c r="Z62" s="89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70">
        <f>IF($A62="","",COUNTIF($D62:$AH62,"P"))</f>
        <v/>
      </c>
      <c r="AJ62" s="70">
        <f>IF($A62="","",COUNTIF($D62:$AH62,"AA")+COUNTIF($D62:$AH62,"SA")+COUNTIF($D62:$AH62,"EA")+COUNTIF($D62:$AH62,"OR")+COUNTIF($D62:$AH62,"WO")+COUNTIF($D62:$AH62,"H"))</f>
        <v/>
      </c>
      <c r="AK62" s="70">
        <f>IF($A62="","",COUNTIF($D62:$AH62,"UA"))</f>
        <v/>
      </c>
      <c r="AL62" s="70">
        <f>IF($A62="","",COUNTIF($D62:$AH62,"SA"))</f>
        <v/>
      </c>
      <c r="AM62" s="70">
        <f>IF($A62="","",COUNTIF($D62:$AH62,"EA"))</f>
        <v/>
      </c>
      <c r="AN62" s="70">
        <f>IF($A62="","",COUNTIF($D62:$AH62,"OR"))</f>
        <v/>
      </c>
      <c r="AO62" s="70">
        <f>IF($A62="","",COUNTIF($D62:$AH62,"WO"))</f>
        <v/>
      </c>
      <c r="AP62" s="70">
        <f>IF($A62="","",COUNTIF($D62:$AH62,"H"))</f>
        <v/>
      </c>
      <c r="AQ62" s="77" t="n"/>
      <c r="AR62" s="77" t="n"/>
      <c r="AS62" s="90">
        <f>IF(OR($A62="",$I$2=0),"",AI62/$I$2)</f>
        <v/>
      </c>
      <c r="AT62" s="90">
        <f>IF(OR($A62="",$I$2=0),"",(AI62+AJ62)/$I$2)</f>
        <v/>
      </c>
      <c r="AU62" s="70">
        <f>IF($A62="","",IF(OR($AK62&gt;=2,AND($AK62&gt;0,$AQ62=""),AND($AK62&gt;0,$AR62="")),"CRITICAL",IF(OR($AK62=1,AND(($AJ62)&gt;0,$AQ62=""),AND(($AJ62)&gt;0,$AR62=""),$AT62&lt;0.95),"REVIEW","OK")))</f>
        <v/>
      </c>
    </row>
    <row r="63" ht="18" customHeight="1" s="57">
      <c r="A63" s="87">
        <f>IF('Employee Master'!A63="","",'Employee Master'!A63)</f>
        <v/>
      </c>
      <c r="B63" s="88">
        <f>IF($A63="","",'Employee Master'!B63)</f>
        <v/>
      </c>
      <c r="C63" s="87">
        <f>IF($A63="","",'Employee Master'!C63)</f>
        <v/>
      </c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70">
        <f>IF($A63="","",COUNTIF($D63:$AH63,"P"))</f>
        <v/>
      </c>
      <c r="AJ63" s="70">
        <f>IF($A63="","",COUNTIF($D63:$AH63,"AA")+COUNTIF($D63:$AH63,"SA")+COUNTIF($D63:$AH63,"EA")+COUNTIF($D63:$AH63,"OR")+COUNTIF($D63:$AH63,"WO")+COUNTIF($D63:$AH63,"H"))</f>
        <v/>
      </c>
      <c r="AK63" s="70">
        <f>IF($A63="","",COUNTIF($D63:$AH63,"UA"))</f>
        <v/>
      </c>
      <c r="AL63" s="70">
        <f>IF($A63="","",COUNTIF($D63:$AH63,"SA"))</f>
        <v/>
      </c>
      <c r="AM63" s="70">
        <f>IF($A63="","",COUNTIF($D63:$AH63,"EA"))</f>
        <v/>
      </c>
      <c r="AN63" s="70">
        <f>IF($A63="","",COUNTIF($D63:$AH63,"OR"))</f>
        <v/>
      </c>
      <c r="AO63" s="70">
        <f>IF($A63="","",COUNTIF($D63:$AH63,"WO"))</f>
        <v/>
      </c>
      <c r="AP63" s="70">
        <f>IF($A63="","",COUNTIF($D63:$AH63,"H"))</f>
        <v/>
      </c>
      <c r="AQ63" s="77" t="n"/>
      <c r="AR63" s="77" t="n"/>
      <c r="AS63" s="90">
        <f>IF(OR($A63="",$I$2=0),"",AI63/$I$2)</f>
        <v/>
      </c>
      <c r="AT63" s="90">
        <f>IF(OR($A63="",$I$2=0),"",(AI63+AJ63)/$I$2)</f>
        <v/>
      </c>
      <c r="AU63" s="70">
        <f>IF($A63="","",IF(OR($AK63&gt;=2,AND($AK63&gt;0,$AQ63=""),AND($AK63&gt;0,$AR63="")),"CRITICAL",IF(OR($AK63=1,AND(($AJ63)&gt;0,$AQ63=""),AND(($AJ63)&gt;0,$AR63=""),$AT63&lt;0.95),"REVIEW","OK")))</f>
        <v/>
      </c>
    </row>
    <row r="64" ht="18" customHeight="1" s="57">
      <c r="A64" s="87">
        <f>IF('Employee Master'!A64="","",'Employee Master'!A64)</f>
        <v/>
      </c>
      <c r="B64" s="88">
        <f>IF($A64="","",'Employee Master'!B64)</f>
        <v/>
      </c>
      <c r="C64" s="87">
        <f>IF($A64="","",'Employee Master'!C64)</f>
        <v/>
      </c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70">
        <f>IF($A64="","",COUNTIF($D64:$AH64,"P"))</f>
        <v/>
      </c>
      <c r="AJ64" s="70">
        <f>IF($A64="","",COUNTIF($D64:$AH64,"AA")+COUNTIF($D64:$AH64,"SA")+COUNTIF($D64:$AH64,"EA")+COUNTIF($D64:$AH64,"OR")+COUNTIF($D64:$AH64,"WO")+COUNTIF($D64:$AH64,"H"))</f>
        <v/>
      </c>
      <c r="AK64" s="70">
        <f>IF($A64="","",COUNTIF($D64:$AH64,"UA"))</f>
        <v/>
      </c>
      <c r="AL64" s="70">
        <f>IF($A64="","",COUNTIF($D64:$AH64,"SA"))</f>
        <v/>
      </c>
      <c r="AM64" s="70">
        <f>IF($A64="","",COUNTIF($D64:$AH64,"EA"))</f>
        <v/>
      </c>
      <c r="AN64" s="70">
        <f>IF($A64="","",COUNTIF($D64:$AH64,"OR"))</f>
        <v/>
      </c>
      <c r="AO64" s="70">
        <f>IF($A64="","",COUNTIF($D64:$AH64,"WO"))</f>
        <v/>
      </c>
      <c r="AP64" s="70">
        <f>IF($A64="","",COUNTIF($D64:$AH64,"H"))</f>
        <v/>
      </c>
      <c r="AQ64" s="77" t="n"/>
      <c r="AR64" s="77" t="n"/>
      <c r="AS64" s="90">
        <f>IF(OR($A64="",$I$2=0),"",AI64/$I$2)</f>
        <v/>
      </c>
      <c r="AT64" s="90">
        <f>IF(OR($A64="",$I$2=0),"",(AI64+AJ64)/$I$2)</f>
        <v/>
      </c>
      <c r="AU64" s="70">
        <f>IF($A64="","",IF(OR($AK64&gt;=2,AND($AK64&gt;0,$AQ64=""),AND($AK64&gt;0,$AR64="")),"CRITICAL",IF(OR($AK64=1,AND(($AJ64)&gt;0,$AQ64=""),AND(($AJ64)&gt;0,$AR64=""),$AT64&lt;0.95),"REVIEW","OK")))</f>
        <v/>
      </c>
    </row>
    <row r="65" ht="18" customHeight="1" s="57">
      <c r="A65" s="87">
        <f>IF('Employee Master'!A65="","",'Employee Master'!A65)</f>
        <v/>
      </c>
      <c r="B65" s="88">
        <f>IF($A65="","",'Employee Master'!B65)</f>
        <v/>
      </c>
      <c r="C65" s="87">
        <f>IF($A65="","",'Employee Master'!C65)</f>
        <v/>
      </c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70">
        <f>IF($A65="","",COUNTIF($D65:$AH65,"P"))</f>
        <v/>
      </c>
      <c r="AJ65" s="70">
        <f>IF($A65="","",COUNTIF($D65:$AH65,"AA")+COUNTIF($D65:$AH65,"SA")+COUNTIF($D65:$AH65,"EA")+COUNTIF($D65:$AH65,"OR")+COUNTIF($D65:$AH65,"WO")+COUNTIF($D65:$AH65,"H"))</f>
        <v/>
      </c>
      <c r="AK65" s="70">
        <f>IF($A65="","",COUNTIF($D65:$AH65,"UA"))</f>
        <v/>
      </c>
      <c r="AL65" s="70">
        <f>IF($A65="","",COUNTIF($D65:$AH65,"SA"))</f>
        <v/>
      </c>
      <c r="AM65" s="70">
        <f>IF($A65="","",COUNTIF($D65:$AH65,"EA"))</f>
        <v/>
      </c>
      <c r="AN65" s="70">
        <f>IF($A65="","",COUNTIF($D65:$AH65,"OR"))</f>
        <v/>
      </c>
      <c r="AO65" s="70">
        <f>IF($A65="","",COUNTIF($D65:$AH65,"WO"))</f>
        <v/>
      </c>
      <c r="AP65" s="70">
        <f>IF($A65="","",COUNTIF($D65:$AH65,"H"))</f>
        <v/>
      </c>
      <c r="AQ65" s="77" t="n"/>
      <c r="AR65" s="77" t="n"/>
      <c r="AS65" s="90">
        <f>IF(OR($A65="",$I$2=0),"",AI65/$I$2)</f>
        <v/>
      </c>
      <c r="AT65" s="90">
        <f>IF(OR($A65="",$I$2=0),"",(AI65+AJ65)/$I$2)</f>
        <v/>
      </c>
      <c r="AU65" s="70">
        <f>IF($A65="","",IF(OR($AK65&gt;=2,AND($AK65&gt;0,$AQ65=""),AND($AK65&gt;0,$AR65="")),"CRITICAL",IF(OR($AK65=1,AND(($AJ65)&gt;0,$AQ65=""),AND(($AJ65)&gt;0,$AR65=""),$AT65&lt;0.95),"REVIEW","OK")))</f>
        <v/>
      </c>
    </row>
    <row r="66" ht="18" customHeight="1" s="57">
      <c r="A66" s="87">
        <f>IF('Employee Master'!A66="","",'Employee Master'!A66)</f>
        <v/>
      </c>
      <c r="B66" s="88">
        <f>IF($A66="","",'Employee Master'!B66)</f>
        <v/>
      </c>
      <c r="C66" s="87">
        <f>IF($A66="","",'Employee Master'!C66)</f>
        <v/>
      </c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70">
        <f>IF($A66="","",COUNTIF($D66:$AH66,"P"))</f>
        <v/>
      </c>
      <c r="AJ66" s="70">
        <f>IF($A66="","",COUNTIF($D66:$AH66,"AA")+COUNTIF($D66:$AH66,"SA")+COUNTIF($D66:$AH66,"EA")+COUNTIF($D66:$AH66,"OR")+COUNTIF($D66:$AH66,"WO")+COUNTIF($D66:$AH66,"H"))</f>
        <v/>
      </c>
      <c r="AK66" s="70">
        <f>IF($A66="","",COUNTIF($D66:$AH66,"UA"))</f>
        <v/>
      </c>
      <c r="AL66" s="70">
        <f>IF($A66="","",COUNTIF($D66:$AH66,"SA"))</f>
        <v/>
      </c>
      <c r="AM66" s="70">
        <f>IF($A66="","",COUNTIF($D66:$AH66,"EA"))</f>
        <v/>
      </c>
      <c r="AN66" s="70">
        <f>IF($A66="","",COUNTIF($D66:$AH66,"OR"))</f>
        <v/>
      </c>
      <c r="AO66" s="70">
        <f>IF($A66="","",COUNTIF($D66:$AH66,"WO"))</f>
        <v/>
      </c>
      <c r="AP66" s="70">
        <f>IF($A66="","",COUNTIF($D66:$AH66,"H"))</f>
        <v/>
      </c>
      <c r="AQ66" s="77" t="n"/>
      <c r="AR66" s="77" t="n"/>
      <c r="AS66" s="90">
        <f>IF(OR($A66="",$I$2=0),"",AI66/$I$2)</f>
        <v/>
      </c>
      <c r="AT66" s="90">
        <f>IF(OR($A66="",$I$2=0),"",(AI66+AJ66)/$I$2)</f>
        <v/>
      </c>
      <c r="AU66" s="70">
        <f>IF($A66="","",IF(OR($AK66&gt;=2,AND($AK66&gt;0,$AQ66=""),AND($AK66&gt;0,$AR66="")),"CRITICAL",IF(OR($AK66=1,AND(($AJ66)&gt;0,$AQ66=""),AND(($AJ66)&gt;0,$AR66=""),$AT66&lt;0.95),"REVIEW","OK")))</f>
        <v/>
      </c>
    </row>
    <row r="67" ht="18" customHeight="1" s="57">
      <c r="A67" s="87">
        <f>IF('Employee Master'!A67="","",'Employee Master'!A67)</f>
        <v/>
      </c>
      <c r="B67" s="88">
        <f>IF($A67="","",'Employee Master'!B67)</f>
        <v/>
      </c>
      <c r="C67" s="87">
        <f>IF($A67="","",'Employee Master'!C67)</f>
        <v/>
      </c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70">
        <f>IF($A67="","",COUNTIF($D67:$AH67,"P"))</f>
        <v/>
      </c>
      <c r="AJ67" s="70">
        <f>IF($A67="","",COUNTIF($D67:$AH67,"AA")+COUNTIF($D67:$AH67,"SA")+COUNTIF($D67:$AH67,"EA")+COUNTIF($D67:$AH67,"OR")+COUNTIF($D67:$AH67,"WO")+COUNTIF($D67:$AH67,"H"))</f>
        <v/>
      </c>
      <c r="AK67" s="70">
        <f>IF($A67="","",COUNTIF($D67:$AH67,"UA"))</f>
        <v/>
      </c>
      <c r="AL67" s="70">
        <f>IF($A67="","",COUNTIF($D67:$AH67,"SA"))</f>
        <v/>
      </c>
      <c r="AM67" s="70">
        <f>IF($A67="","",COUNTIF($D67:$AH67,"EA"))</f>
        <v/>
      </c>
      <c r="AN67" s="70">
        <f>IF($A67="","",COUNTIF($D67:$AH67,"OR"))</f>
        <v/>
      </c>
      <c r="AO67" s="70">
        <f>IF($A67="","",COUNTIF($D67:$AH67,"WO"))</f>
        <v/>
      </c>
      <c r="AP67" s="70">
        <f>IF($A67="","",COUNTIF($D67:$AH67,"H"))</f>
        <v/>
      </c>
      <c r="AQ67" s="77" t="n"/>
      <c r="AR67" s="77" t="n"/>
      <c r="AS67" s="90">
        <f>IF(OR($A67="",$I$2=0),"",AI67/$I$2)</f>
        <v/>
      </c>
      <c r="AT67" s="90">
        <f>IF(OR($A67="",$I$2=0),"",(AI67+AJ67)/$I$2)</f>
        <v/>
      </c>
      <c r="AU67" s="70">
        <f>IF($A67="","",IF(OR($AK67&gt;=2,AND($AK67&gt;0,$AQ67=""),AND($AK67&gt;0,$AR67="")),"CRITICAL",IF(OR($AK67=1,AND(($AJ67)&gt;0,$AQ67=""),AND(($AJ67)&gt;0,$AR67=""),$AT67&lt;0.95),"REVIEW","OK")))</f>
        <v/>
      </c>
    </row>
    <row r="68" ht="18" customHeight="1" s="57">
      <c r="A68" s="87">
        <f>IF('Employee Master'!A68="","",'Employee Master'!A68)</f>
        <v/>
      </c>
      <c r="B68" s="88">
        <f>IF($A68="","",'Employee Master'!B68)</f>
        <v/>
      </c>
      <c r="C68" s="87">
        <f>IF($A68="","",'Employee Master'!C68)</f>
        <v/>
      </c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C68" s="89" t="n"/>
      <c r="AD68" s="89" t="n"/>
      <c r="AE68" s="89" t="n"/>
      <c r="AF68" s="121" t="inlineStr">
        <is>
          <t>UA</t>
        </is>
      </c>
      <c r="AG68" s="121" t="inlineStr">
        <is>
          <t>UA</t>
        </is>
      </c>
      <c r="AH68" s="121" t="inlineStr">
        <is>
          <t>UA</t>
        </is>
      </c>
      <c r="AI68" s="70">
        <f>IF($A68="","",COUNTIF($D68:$AH68,"P"))</f>
        <v/>
      </c>
      <c r="AJ68" s="70">
        <f>IF($A68="","",COUNTIF($D68:$AH68,"AA")+COUNTIF($D68:$AH68,"SA")+COUNTIF($D68:$AH68,"EA")+COUNTIF($D68:$AH68,"OR")+COUNTIF($D68:$AH68,"WO")+COUNTIF($D68:$AH68,"H"))</f>
        <v/>
      </c>
      <c r="AK68" s="70">
        <f>IF($A68="","",COUNTIF($D68:$AH68,"UA"))</f>
        <v/>
      </c>
      <c r="AL68" s="70">
        <f>IF($A68="","",COUNTIF($D68:$AH68,"SA"))</f>
        <v/>
      </c>
      <c r="AM68" s="70">
        <f>IF($A68="","",COUNTIF($D68:$AH68,"EA"))</f>
        <v/>
      </c>
      <c r="AN68" s="70">
        <f>IF($A68="","",COUNTIF($D68:$AH68,"OR"))</f>
        <v/>
      </c>
      <c r="AO68" s="70">
        <f>IF($A68="","",COUNTIF($D68:$AH68,"WO"))</f>
        <v/>
      </c>
      <c r="AP68" s="70">
        <f>IF($A68="","",COUNTIF($D68:$AH68,"H"))</f>
        <v/>
      </c>
      <c r="AQ68" s="77" t="n"/>
      <c r="AR68" s="77" t="n"/>
      <c r="AS68" s="90">
        <f>IF(OR($A68="",$I$2=0),"",AI68/$I$2)</f>
        <v/>
      </c>
      <c r="AT68" s="90">
        <f>IF(OR($A68="",$I$2=0),"",(AI68+AJ68)/$I$2)</f>
        <v/>
      </c>
      <c r="AU68" s="70">
        <f>IF($A68="","",IF(OR($AK68&gt;=2,AND($AK68&gt;0,$AQ68=""),AND($AK68&gt;0,$AR68="")),"CRITICAL",IF(OR($AK68=1,AND(($AJ68)&gt;0,$AQ68=""),AND(($AJ68)&gt;0,$AR68=""),$AT68&lt;0.95),"REVIEW","OK")))</f>
        <v/>
      </c>
    </row>
    <row r="69" ht="18" customHeight="1" s="57">
      <c r="A69" s="87">
        <f>IF('Employee Master'!A69="","",'Employee Master'!A69)</f>
        <v/>
      </c>
      <c r="B69" s="88">
        <f>IF($A69="","",'Employee Master'!B69)</f>
        <v/>
      </c>
      <c r="C69" s="87">
        <f>IF($A69="","",'Employee Master'!C69)</f>
        <v/>
      </c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70">
        <f>IF($A69="","",COUNTIF($D69:$AH69,"P"))</f>
        <v/>
      </c>
      <c r="AJ69" s="70">
        <f>IF($A69="","",COUNTIF($D69:$AH69,"AA")+COUNTIF($D69:$AH69,"SA")+COUNTIF($D69:$AH69,"EA")+COUNTIF($D69:$AH69,"OR")+COUNTIF($D69:$AH69,"WO")+COUNTIF($D69:$AH69,"H"))</f>
        <v/>
      </c>
      <c r="AK69" s="70">
        <f>IF($A69="","",COUNTIF($D69:$AH69,"UA"))</f>
        <v/>
      </c>
      <c r="AL69" s="70">
        <f>IF($A69="","",COUNTIF($D69:$AH69,"SA"))</f>
        <v/>
      </c>
      <c r="AM69" s="70">
        <f>IF($A69="","",COUNTIF($D69:$AH69,"EA"))</f>
        <v/>
      </c>
      <c r="AN69" s="70">
        <f>IF($A69="","",COUNTIF($D69:$AH69,"OR"))</f>
        <v/>
      </c>
      <c r="AO69" s="70">
        <f>IF($A69="","",COUNTIF($D69:$AH69,"WO"))</f>
        <v/>
      </c>
      <c r="AP69" s="70">
        <f>IF($A69="","",COUNTIF($D69:$AH69,"H"))</f>
        <v/>
      </c>
      <c r="AQ69" s="77" t="n"/>
      <c r="AR69" s="77" t="n"/>
      <c r="AS69" s="90">
        <f>IF(OR($A69="",$I$2=0),"",AI69/$I$2)</f>
        <v/>
      </c>
      <c r="AT69" s="90">
        <f>IF(OR($A69="",$I$2=0),"",(AI69+AJ69)/$I$2)</f>
        <v/>
      </c>
      <c r="AU69" s="70">
        <f>IF($A69="","",IF(OR($AK69&gt;=2,AND($AK69&gt;0,$AQ69=""),AND($AK69&gt;0,$AR69="")),"CRITICAL",IF(OR($AK69=1,AND(($AJ69)&gt;0,$AQ69=""),AND(($AJ69)&gt;0,$AR69=""),$AT69&lt;0.95),"REVIEW","OK")))</f>
        <v/>
      </c>
    </row>
    <row r="70" ht="18" customHeight="1" s="57">
      <c r="A70" s="87">
        <f>IF('Employee Master'!A70="","",'Employee Master'!A70)</f>
        <v/>
      </c>
      <c r="B70" s="88">
        <f>IF($A70="","",'Employee Master'!B70)</f>
        <v/>
      </c>
      <c r="C70" s="87">
        <f>IF($A70="","",'Employee Master'!C70)</f>
        <v/>
      </c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70">
        <f>IF($A70="","",COUNTIF($D70:$AH70,"P"))</f>
        <v/>
      </c>
      <c r="AJ70" s="70">
        <f>IF($A70="","",COUNTIF($D70:$AH70,"AA")+COUNTIF($D70:$AH70,"SA")+COUNTIF($D70:$AH70,"EA")+COUNTIF($D70:$AH70,"OR")+COUNTIF($D70:$AH70,"WO")+COUNTIF($D70:$AH70,"H"))</f>
        <v/>
      </c>
      <c r="AK70" s="70">
        <f>IF($A70="","",COUNTIF($D70:$AH70,"UA"))</f>
        <v/>
      </c>
      <c r="AL70" s="70">
        <f>IF($A70="","",COUNTIF($D70:$AH70,"SA"))</f>
        <v/>
      </c>
      <c r="AM70" s="70">
        <f>IF($A70="","",COUNTIF($D70:$AH70,"EA"))</f>
        <v/>
      </c>
      <c r="AN70" s="70">
        <f>IF($A70="","",COUNTIF($D70:$AH70,"OR"))</f>
        <v/>
      </c>
      <c r="AO70" s="70">
        <f>IF($A70="","",COUNTIF($D70:$AH70,"WO"))</f>
        <v/>
      </c>
      <c r="AP70" s="70">
        <f>IF($A70="","",COUNTIF($D70:$AH70,"H"))</f>
        <v/>
      </c>
      <c r="AQ70" s="77" t="n"/>
      <c r="AR70" s="77" t="n"/>
      <c r="AS70" s="90">
        <f>IF(OR($A70="",$I$2=0),"",AI70/$I$2)</f>
        <v/>
      </c>
      <c r="AT70" s="90">
        <f>IF(OR($A70="",$I$2=0),"",(AI70+AJ70)/$I$2)</f>
        <v/>
      </c>
      <c r="AU70" s="70">
        <f>IF($A70="","",IF(OR($AK70&gt;=2,AND($AK70&gt;0,$AQ70=""),AND($AK70&gt;0,$AR70="")),"CRITICAL",IF(OR($AK70=1,AND(($AJ70)&gt;0,$AQ70=""),AND(($AJ70)&gt;0,$AR70=""),$AT70&lt;0.95),"REVIEW","OK")))</f>
        <v/>
      </c>
    </row>
    <row r="71" ht="18" customHeight="1" s="57">
      <c r="A71" s="87">
        <f>IF('Employee Master'!A71="","",'Employee Master'!A71)</f>
        <v/>
      </c>
      <c r="B71" s="88">
        <f>IF($A71="","",'Employee Master'!B71)</f>
        <v/>
      </c>
      <c r="C71" s="87">
        <f>IF($A71="","",'Employee Master'!C71)</f>
        <v/>
      </c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  <c r="AC71" s="89" t="n"/>
      <c r="AD71" s="89" t="n"/>
      <c r="AE71" s="89" t="n"/>
      <c r="AF71" s="89" t="n"/>
      <c r="AG71" s="89" t="n"/>
      <c r="AH71" s="89" t="n"/>
      <c r="AI71" s="70">
        <f>IF($A71="","",COUNTIF($D71:$AH71,"P"))</f>
        <v/>
      </c>
      <c r="AJ71" s="70">
        <f>IF($A71="","",COUNTIF($D71:$AH71,"AA")+COUNTIF($D71:$AH71,"SA")+COUNTIF($D71:$AH71,"EA")+COUNTIF($D71:$AH71,"OR")+COUNTIF($D71:$AH71,"WO")+COUNTIF($D71:$AH71,"H"))</f>
        <v/>
      </c>
      <c r="AK71" s="70">
        <f>IF($A71="","",COUNTIF($D71:$AH71,"UA"))</f>
        <v/>
      </c>
      <c r="AL71" s="70">
        <f>IF($A71="","",COUNTIF($D71:$AH71,"SA"))</f>
        <v/>
      </c>
      <c r="AM71" s="70">
        <f>IF($A71="","",COUNTIF($D71:$AH71,"EA"))</f>
        <v/>
      </c>
      <c r="AN71" s="70">
        <f>IF($A71="","",COUNTIF($D71:$AH71,"OR"))</f>
        <v/>
      </c>
      <c r="AO71" s="70">
        <f>IF($A71="","",COUNTIF($D71:$AH71,"WO"))</f>
        <v/>
      </c>
      <c r="AP71" s="70">
        <f>IF($A71="","",COUNTIF($D71:$AH71,"H"))</f>
        <v/>
      </c>
      <c r="AQ71" s="77" t="n"/>
      <c r="AR71" s="77" t="n"/>
      <c r="AS71" s="90">
        <f>IF(OR($A71="",$I$2=0),"",AI71/$I$2)</f>
        <v/>
      </c>
      <c r="AT71" s="90">
        <f>IF(OR($A71="",$I$2=0),"",(AI71+AJ71)/$I$2)</f>
        <v/>
      </c>
      <c r="AU71" s="70">
        <f>IF($A71="","",IF(OR($AK71&gt;=2,AND($AK71&gt;0,$AQ71=""),AND($AK71&gt;0,$AR71="")),"CRITICAL",IF(OR($AK71=1,AND(($AJ71)&gt;0,$AQ71=""),AND(($AJ71)&gt;0,$AR71=""),$AT71&lt;0.95),"REVIEW","OK")))</f>
        <v/>
      </c>
    </row>
    <row r="72" ht="18" customHeight="1" s="57">
      <c r="A72" s="87">
        <f>IF('Employee Master'!A72="","",'Employee Master'!A72)</f>
        <v/>
      </c>
      <c r="B72" s="88">
        <f>IF($A72="","",'Employee Master'!B72)</f>
        <v/>
      </c>
      <c r="C72" s="87">
        <f>IF($A72="","",'Employee Master'!C72)</f>
        <v/>
      </c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  <c r="AC72" s="89" t="n"/>
      <c r="AD72" s="89" t="n"/>
      <c r="AE72" s="89" t="n"/>
      <c r="AF72" s="89" t="n"/>
      <c r="AG72" s="89" t="n"/>
      <c r="AH72" s="89" t="n"/>
      <c r="AI72" s="70">
        <f>IF($A72="","",COUNTIF($D72:$AH72,"P"))</f>
        <v/>
      </c>
      <c r="AJ72" s="70">
        <f>IF($A72="","",COUNTIF($D72:$AH72,"AA")+COUNTIF($D72:$AH72,"SA")+COUNTIF($D72:$AH72,"EA")+COUNTIF($D72:$AH72,"OR")+COUNTIF($D72:$AH72,"WO")+COUNTIF($D72:$AH72,"H"))</f>
        <v/>
      </c>
      <c r="AK72" s="70">
        <f>IF($A72="","",COUNTIF($D72:$AH72,"UA"))</f>
        <v/>
      </c>
      <c r="AL72" s="70">
        <f>IF($A72="","",COUNTIF($D72:$AH72,"SA"))</f>
        <v/>
      </c>
      <c r="AM72" s="70">
        <f>IF($A72="","",COUNTIF($D72:$AH72,"EA"))</f>
        <v/>
      </c>
      <c r="AN72" s="70">
        <f>IF($A72="","",COUNTIF($D72:$AH72,"OR"))</f>
        <v/>
      </c>
      <c r="AO72" s="70">
        <f>IF($A72="","",COUNTIF($D72:$AH72,"WO"))</f>
        <v/>
      </c>
      <c r="AP72" s="70">
        <f>IF($A72="","",COUNTIF($D72:$AH72,"H"))</f>
        <v/>
      </c>
      <c r="AQ72" s="77" t="n"/>
      <c r="AR72" s="77" t="n"/>
      <c r="AS72" s="90">
        <f>IF(OR($A72="",$I$2=0),"",AI72/$I$2)</f>
        <v/>
      </c>
      <c r="AT72" s="90">
        <f>IF(OR($A72="",$I$2=0),"",(AI72+AJ72)/$I$2)</f>
        <v/>
      </c>
      <c r="AU72" s="70">
        <f>IF($A72="","",IF(OR($AK72&gt;=2,AND($AK72&gt;0,$AQ72=""),AND($AK72&gt;0,$AR72="")),"CRITICAL",IF(OR($AK72=1,AND(($AJ72)&gt;0,$AQ72=""),AND(($AJ72)&gt;0,$AR72=""),$AT72&lt;0.95),"REVIEW","OK")))</f>
        <v/>
      </c>
    </row>
    <row r="73" ht="18" customHeight="1" s="57">
      <c r="A73" s="87">
        <f>IF('Employee Master'!A73="","",'Employee Master'!A73)</f>
        <v/>
      </c>
      <c r="B73" s="88">
        <f>IF($A73="","",'Employee Master'!B73)</f>
        <v/>
      </c>
      <c r="C73" s="87">
        <f>IF($A73="","",'Employee Master'!C73)</f>
        <v/>
      </c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  <c r="AC73" s="89" t="n"/>
      <c r="AD73" s="89" t="n"/>
      <c r="AE73" s="89" t="n"/>
      <c r="AF73" s="89" t="n"/>
      <c r="AG73" s="89" t="n"/>
      <c r="AH73" s="89" t="n"/>
      <c r="AI73" s="70">
        <f>IF($A73="","",COUNTIF($D73:$AH73,"P"))</f>
        <v/>
      </c>
      <c r="AJ73" s="70">
        <f>IF($A73="","",COUNTIF($D73:$AH73,"AA")+COUNTIF($D73:$AH73,"SA")+COUNTIF($D73:$AH73,"EA")+COUNTIF($D73:$AH73,"OR")+COUNTIF($D73:$AH73,"WO")+COUNTIF($D73:$AH73,"H"))</f>
        <v/>
      </c>
      <c r="AK73" s="70">
        <f>IF($A73="","",COUNTIF($D73:$AH73,"UA"))</f>
        <v/>
      </c>
      <c r="AL73" s="70">
        <f>IF($A73="","",COUNTIF($D73:$AH73,"SA"))</f>
        <v/>
      </c>
      <c r="AM73" s="70">
        <f>IF($A73="","",COUNTIF($D73:$AH73,"EA"))</f>
        <v/>
      </c>
      <c r="AN73" s="70">
        <f>IF($A73="","",COUNTIF($D73:$AH73,"OR"))</f>
        <v/>
      </c>
      <c r="AO73" s="70">
        <f>IF($A73="","",COUNTIF($D73:$AH73,"WO"))</f>
        <v/>
      </c>
      <c r="AP73" s="70">
        <f>IF($A73="","",COUNTIF($D73:$AH73,"H"))</f>
        <v/>
      </c>
      <c r="AQ73" s="77" t="n"/>
      <c r="AR73" s="77" t="n"/>
      <c r="AS73" s="90">
        <f>IF(OR($A73="",$I$2=0),"",AI73/$I$2)</f>
        <v/>
      </c>
      <c r="AT73" s="90">
        <f>IF(OR($A73="",$I$2=0),"",(AI73+AJ73)/$I$2)</f>
        <v/>
      </c>
      <c r="AU73" s="70">
        <f>IF($A73="","",IF(OR($AK73&gt;=2,AND($AK73&gt;0,$AQ73=""),AND($AK73&gt;0,$AR73="")),"CRITICAL",IF(OR($AK73=1,AND(($AJ73)&gt;0,$AQ73=""),AND(($AJ73)&gt;0,$AR73=""),$AT73&lt;0.95),"REVIEW","OK")))</f>
        <v/>
      </c>
    </row>
    <row r="74" ht="18" customHeight="1" s="57">
      <c r="A74" s="87">
        <f>IF('Employee Master'!A74="","",'Employee Master'!A74)</f>
        <v/>
      </c>
      <c r="B74" s="88">
        <f>IF($A74="","",'Employee Master'!B74)</f>
        <v/>
      </c>
      <c r="C74" s="87">
        <f>IF($A74="","",'Employee Master'!C74)</f>
        <v/>
      </c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70">
        <f>IF($A74="","",COUNTIF($D74:$AH74,"P"))</f>
        <v/>
      </c>
      <c r="AJ74" s="70">
        <f>IF($A74="","",COUNTIF($D74:$AH74,"AA")+COUNTIF($D74:$AH74,"SA")+COUNTIF($D74:$AH74,"EA")+COUNTIF($D74:$AH74,"OR")+COUNTIF($D74:$AH74,"WO")+COUNTIF($D74:$AH74,"H"))</f>
        <v/>
      </c>
      <c r="AK74" s="70">
        <f>IF($A74="","",COUNTIF($D74:$AH74,"UA"))</f>
        <v/>
      </c>
      <c r="AL74" s="70">
        <f>IF($A74="","",COUNTIF($D74:$AH74,"SA"))</f>
        <v/>
      </c>
      <c r="AM74" s="70">
        <f>IF($A74="","",COUNTIF($D74:$AH74,"EA"))</f>
        <v/>
      </c>
      <c r="AN74" s="70">
        <f>IF($A74="","",COUNTIF($D74:$AH74,"OR"))</f>
        <v/>
      </c>
      <c r="AO74" s="70">
        <f>IF($A74="","",COUNTIF($D74:$AH74,"WO"))</f>
        <v/>
      </c>
      <c r="AP74" s="70">
        <f>IF($A74="","",COUNTIF($D74:$AH74,"H"))</f>
        <v/>
      </c>
      <c r="AQ74" s="77" t="n"/>
      <c r="AR74" s="77" t="n"/>
      <c r="AS74" s="90">
        <f>IF(OR($A74="",$I$2=0),"",AI74/$I$2)</f>
        <v/>
      </c>
      <c r="AT74" s="90">
        <f>IF(OR($A74="",$I$2=0),"",(AI74+AJ74)/$I$2)</f>
        <v/>
      </c>
      <c r="AU74" s="70">
        <f>IF($A74="","",IF(OR($AK74&gt;=2,AND($AK74&gt;0,$AQ74=""),AND($AK74&gt;0,$AR74="")),"CRITICAL",IF(OR($AK74=1,AND(($AJ74)&gt;0,$AQ74=""),AND(($AJ74)&gt;0,$AR74=""),$AT74&lt;0.95),"REVIEW","OK")))</f>
        <v/>
      </c>
    </row>
    <row r="75" ht="18" customHeight="1" s="57">
      <c r="A75" s="87">
        <f>IF('Employee Master'!A75="","",'Employee Master'!A75)</f>
        <v/>
      </c>
      <c r="B75" s="88">
        <f>IF($A75="","",'Employee Master'!B75)</f>
        <v/>
      </c>
      <c r="C75" s="87">
        <f>IF($A75="","",'Employee Master'!C75)</f>
        <v/>
      </c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  <c r="AC75" s="89" t="n"/>
      <c r="AD75" s="89" t="n"/>
      <c r="AE75" s="89" t="n"/>
      <c r="AF75" s="89" t="n"/>
      <c r="AG75" s="89" t="n"/>
      <c r="AH75" s="89" t="n"/>
      <c r="AI75" s="70">
        <f>IF($A75="","",COUNTIF($D75:$AH75,"P"))</f>
        <v/>
      </c>
      <c r="AJ75" s="70">
        <f>IF($A75="","",COUNTIF($D75:$AH75,"AA")+COUNTIF($D75:$AH75,"SA")+COUNTIF($D75:$AH75,"EA")+COUNTIF($D75:$AH75,"OR")+COUNTIF($D75:$AH75,"WO")+COUNTIF($D75:$AH75,"H"))</f>
        <v/>
      </c>
      <c r="AK75" s="70">
        <f>IF($A75="","",COUNTIF($D75:$AH75,"UA"))</f>
        <v/>
      </c>
      <c r="AL75" s="70">
        <f>IF($A75="","",COUNTIF($D75:$AH75,"SA"))</f>
        <v/>
      </c>
      <c r="AM75" s="70">
        <f>IF($A75="","",COUNTIF($D75:$AH75,"EA"))</f>
        <v/>
      </c>
      <c r="AN75" s="70">
        <f>IF($A75="","",COUNTIF($D75:$AH75,"OR"))</f>
        <v/>
      </c>
      <c r="AO75" s="70">
        <f>IF($A75="","",COUNTIF($D75:$AH75,"WO"))</f>
        <v/>
      </c>
      <c r="AP75" s="70">
        <f>IF($A75="","",COUNTIF($D75:$AH75,"H"))</f>
        <v/>
      </c>
      <c r="AQ75" s="77" t="n"/>
      <c r="AR75" s="77" t="n"/>
      <c r="AS75" s="90">
        <f>IF(OR($A75="",$I$2=0),"",AI75/$I$2)</f>
        <v/>
      </c>
      <c r="AT75" s="90">
        <f>IF(OR($A75="",$I$2=0),"",(AI75+AJ75)/$I$2)</f>
        <v/>
      </c>
      <c r="AU75" s="70">
        <f>IF($A75="","",IF(OR($AK75&gt;=2,AND($AK75&gt;0,$AQ75=""),AND($AK75&gt;0,$AR75="")),"CRITICAL",IF(OR($AK75=1,AND(($AJ75)&gt;0,$AQ75=""),AND(($AJ75)&gt;0,$AR75=""),$AT75&lt;0.95),"REVIEW","OK")))</f>
        <v/>
      </c>
    </row>
    <row r="76" ht="18" customHeight="1" s="57">
      <c r="A76" s="87">
        <f>IF('Employee Master'!A76="","",'Employee Master'!A76)</f>
        <v/>
      </c>
      <c r="B76" s="88">
        <f>IF($A76="","",'Employee Master'!B76)</f>
        <v/>
      </c>
      <c r="C76" s="87">
        <f>IF($A76="","",'Employee Master'!C76)</f>
        <v/>
      </c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  <c r="AC76" s="89" t="n"/>
      <c r="AD76" s="89" t="n"/>
      <c r="AE76" s="89" t="n"/>
      <c r="AF76" s="89" t="n"/>
      <c r="AG76" s="89" t="n"/>
      <c r="AH76" s="89" t="n"/>
      <c r="AI76" s="70">
        <f>IF($A76="","",COUNTIF($D76:$AH76,"P"))</f>
        <v/>
      </c>
      <c r="AJ76" s="70">
        <f>IF($A76="","",COUNTIF($D76:$AH76,"AA")+COUNTIF($D76:$AH76,"SA")+COUNTIF($D76:$AH76,"EA")+COUNTIF($D76:$AH76,"OR")+COUNTIF($D76:$AH76,"WO")+COUNTIF($D76:$AH76,"H"))</f>
        <v/>
      </c>
      <c r="AK76" s="70">
        <f>IF($A76="","",COUNTIF($D76:$AH76,"UA"))</f>
        <v/>
      </c>
      <c r="AL76" s="70">
        <f>IF($A76="","",COUNTIF($D76:$AH76,"SA"))</f>
        <v/>
      </c>
      <c r="AM76" s="70">
        <f>IF($A76="","",COUNTIF($D76:$AH76,"EA"))</f>
        <v/>
      </c>
      <c r="AN76" s="70">
        <f>IF($A76="","",COUNTIF($D76:$AH76,"OR"))</f>
        <v/>
      </c>
      <c r="AO76" s="70">
        <f>IF($A76="","",COUNTIF($D76:$AH76,"WO"))</f>
        <v/>
      </c>
      <c r="AP76" s="70">
        <f>IF($A76="","",COUNTIF($D76:$AH76,"H"))</f>
        <v/>
      </c>
      <c r="AQ76" s="77" t="n"/>
      <c r="AR76" s="77" t="n"/>
      <c r="AS76" s="90">
        <f>IF(OR($A76="",$I$2=0),"",AI76/$I$2)</f>
        <v/>
      </c>
      <c r="AT76" s="90">
        <f>IF(OR($A76="",$I$2=0),"",(AI76+AJ76)/$I$2)</f>
        <v/>
      </c>
      <c r="AU76" s="70">
        <f>IF($A76="","",IF(OR($AK76&gt;=2,AND($AK76&gt;0,$AQ76=""),AND($AK76&gt;0,$AR76="")),"CRITICAL",IF(OR($AK76=1,AND(($AJ76)&gt;0,$AQ76=""),AND(($AJ76)&gt;0,$AR76=""),$AT76&lt;0.95),"REVIEW","OK")))</f>
        <v/>
      </c>
    </row>
    <row r="77" ht="18" customHeight="1" s="57">
      <c r="A77" s="87">
        <f>IF('Employee Master'!A77="","",'Employee Master'!A77)</f>
        <v/>
      </c>
      <c r="B77" s="88">
        <f>IF($A77="","",'Employee Master'!B77)</f>
        <v/>
      </c>
      <c r="C77" s="87">
        <f>IF($A77="","",'Employee Master'!C77)</f>
        <v/>
      </c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  <c r="AC77" s="89" t="n"/>
      <c r="AD77" s="89" t="n"/>
      <c r="AE77" s="89" t="n"/>
      <c r="AF77" s="89" t="n"/>
      <c r="AG77" s="89" t="n"/>
      <c r="AH77" s="89" t="n"/>
      <c r="AI77" s="70">
        <f>IF($A77="","",COUNTIF($D77:$AH77,"P"))</f>
        <v/>
      </c>
      <c r="AJ77" s="70">
        <f>IF($A77="","",COUNTIF($D77:$AH77,"AA")+COUNTIF($D77:$AH77,"SA")+COUNTIF($D77:$AH77,"EA")+COUNTIF($D77:$AH77,"OR")+COUNTIF($D77:$AH77,"WO")+COUNTIF($D77:$AH77,"H"))</f>
        <v/>
      </c>
      <c r="AK77" s="70">
        <f>IF($A77="","",COUNTIF($D77:$AH77,"UA"))</f>
        <v/>
      </c>
      <c r="AL77" s="70">
        <f>IF($A77="","",COUNTIF($D77:$AH77,"SA"))</f>
        <v/>
      </c>
      <c r="AM77" s="70">
        <f>IF($A77="","",COUNTIF($D77:$AH77,"EA"))</f>
        <v/>
      </c>
      <c r="AN77" s="70">
        <f>IF($A77="","",COUNTIF($D77:$AH77,"OR"))</f>
        <v/>
      </c>
      <c r="AO77" s="70">
        <f>IF($A77="","",COUNTIF($D77:$AH77,"WO"))</f>
        <v/>
      </c>
      <c r="AP77" s="70">
        <f>IF($A77="","",COUNTIF($D77:$AH77,"H"))</f>
        <v/>
      </c>
      <c r="AQ77" s="77" t="n"/>
      <c r="AR77" s="77" t="n"/>
      <c r="AS77" s="90">
        <f>IF(OR($A77="",$I$2=0),"",AI77/$I$2)</f>
        <v/>
      </c>
      <c r="AT77" s="90">
        <f>IF(OR($A77="",$I$2=0),"",(AI77+AJ77)/$I$2)</f>
        <v/>
      </c>
      <c r="AU77" s="70">
        <f>IF($A77="","",IF(OR($AK77&gt;=2,AND($AK77&gt;0,$AQ77=""),AND($AK77&gt;0,$AR77="")),"CRITICAL",IF(OR($AK77=1,AND(($AJ77)&gt;0,$AQ77=""),AND(($AJ77)&gt;0,$AR77=""),$AT77&lt;0.95),"REVIEW","OK")))</f>
        <v/>
      </c>
    </row>
    <row r="78" ht="18" customHeight="1" s="57">
      <c r="A78" s="87">
        <f>IF('Employee Master'!A78="","",'Employee Master'!A78)</f>
        <v/>
      </c>
      <c r="B78" s="88">
        <f>IF($A78="","",'Employee Master'!B78)</f>
        <v/>
      </c>
      <c r="C78" s="87">
        <f>IF($A78="","",'Employee Master'!C78)</f>
        <v/>
      </c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  <c r="AC78" s="89" t="n"/>
      <c r="AD78" s="89" t="n"/>
      <c r="AE78" s="89" t="n"/>
      <c r="AF78" s="89" t="n"/>
      <c r="AG78" s="89" t="n"/>
      <c r="AH78" s="89" t="n"/>
      <c r="AI78" s="70">
        <f>IF($A78="","",COUNTIF($D78:$AH78,"P"))</f>
        <v/>
      </c>
      <c r="AJ78" s="70">
        <f>IF($A78="","",COUNTIF($D78:$AH78,"AA")+COUNTIF($D78:$AH78,"SA")+COUNTIF($D78:$AH78,"EA")+COUNTIF($D78:$AH78,"OR")+COUNTIF($D78:$AH78,"WO")+COUNTIF($D78:$AH78,"H"))</f>
        <v/>
      </c>
      <c r="AK78" s="70">
        <f>IF($A78="","",COUNTIF($D78:$AH78,"UA"))</f>
        <v/>
      </c>
      <c r="AL78" s="70">
        <f>IF($A78="","",COUNTIF($D78:$AH78,"SA"))</f>
        <v/>
      </c>
      <c r="AM78" s="70">
        <f>IF($A78="","",COUNTIF($D78:$AH78,"EA"))</f>
        <v/>
      </c>
      <c r="AN78" s="70">
        <f>IF($A78="","",COUNTIF($D78:$AH78,"OR"))</f>
        <v/>
      </c>
      <c r="AO78" s="70">
        <f>IF($A78="","",COUNTIF($D78:$AH78,"WO"))</f>
        <v/>
      </c>
      <c r="AP78" s="70">
        <f>IF($A78="","",COUNTIF($D78:$AH78,"H"))</f>
        <v/>
      </c>
      <c r="AQ78" s="77" t="n"/>
      <c r="AR78" s="77" t="n"/>
      <c r="AS78" s="90">
        <f>IF(OR($A78="",$I$2=0),"",AI78/$I$2)</f>
        <v/>
      </c>
      <c r="AT78" s="90">
        <f>IF(OR($A78="",$I$2=0),"",(AI78+AJ78)/$I$2)</f>
        <v/>
      </c>
      <c r="AU78" s="70">
        <f>IF($A78="","",IF(OR($AK78&gt;=2,AND($AK78&gt;0,$AQ78=""),AND($AK78&gt;0,$AR78="")),"CRITICAL",IF(OR($AK78=1,AND(($AJ78)&gt;0,$AQ78=""),AND(($AJ78)&gt;0,$AR78=""),$AT78&lt;0.95),"REVIEW","OK")))</f>
        <v/>
      </c>
    </row>
    <row r="79" ht="18" customHeight="1" s="57">
      <c r="A79" s="87">
        <f>IF('Employee Master'!A79="","",'Employee Master'!A79)</f>
        <v/>
      </c>
      <c r="B79" s="88">
        <f>IF($A79="","",'Employee Master'!B79)</f>
        <v/>
      </c>
      <c r="C79" s="87">
        <f>IF($A79="","",'Employee Master'!C79)</f>
        <v/>
      </c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  <c r="AC79" s="89" t="n"/>
      <c r="AD79" s="89" t="n"/>
      <c r="AE79" s="89" t="n"/>
      <c r="AF79" s="89" t="n"/>
      <c r="AG79" s="89" t="n"/>
      <c r="AH79" s="89" t="n"/>
      <c r="AI79" s="70">
        <f>IF($A79="","",COUNTIF($D79:$AH79,"P"))</f>
        <v/>
      </c>
      <c r="AJ79" s="70">
        <f>IF($A79="","",COUNTIF($D79:$AH79,"AA")+COUNTIF($D79:$AH79,"SA")+COUNTIF($D79:$AH79,"EA")+COUNTIF($D79:$AH79,"OR")+COUNTIF($D79:$AH79,"WO")+COUNTIF($D79:$AH79,"H"))</f>
        <v/>
      </c>
      <c r="AK79" s="70">
        <f>IF($A79="","",COUNTIF($D79:$AH79,"UA"))</f>
        <v/>
      </c>
      <c r="AL79" s="70">
        <f>IF($A79="","",COUNTIF($D79:$AH79,"SA"))</f>
        <v/>
      </c>
      <c r="AM79" s="70">
        <f>IF($A79="","",COUNTIF($D79:$AH79,"EA"))</f>
        <v/>
      </c>
      <c r="AN79" s="70">
        <f>IF($A79="","",COUNTIF($D79:$AH79,"OR"))</f>
        <v/>
      </c>
      <c r="AO79" s="70">
        <f>IF($A79="","",COUNTIF($D79:$AH79,"WO"))</f>
        <v/>
      </c>
      <c r="AP79" s="70">
        <f>IF($A79="","",COUNTIF($D79:$AH79,"H"))</f>
        <v/>
      </c>
      <c r="AQ79" s="77" t="n"/>
      <c r="AR79" s="77" t="n"/>
      <c r="AS79" s="90">
        <f>IF(OR($A79="",$I$2=0),"",AI79/$I$2)</f>
        <v/>
      </c>
      <c r="AT79" s="90">
        <f>IF(OR($A79="",$I$2=0),"",(AI79+AJ79)/$I$2)</f>
        <v/>
      </c>
      <c r="AU79" s="70">
        <f>IF($A79="","",IF(OR($AK79&gt;=2,AND($AK79&gt;0,$AQ79=""),AND($AK79&gt;0,$AR79="")),"CRITICAL",IF(OR($AK79=1,AND(($AJ79)&gt;0,$AQ79=""),AND(($AJ79)&gt;0,$AR79=""),$AT79&lt;0.95),"REVIEW","OK")))</f>
        <v/>
      </c>
    </row>
    <row r="80" ht="18" customHeight="1" s="57">
      <c r="A80" s="87">
        <f>IF('Employee Master'!A80="","",'Employee Master'!A80)</f>
        <v/>
      </c>
      <c r="B80" s="88">
        <f>IF($A80="","",'Employee Master'!B80)</f>
        <v/>
      </c>
      <c r="C80" s="87">
        <f>IF($A80="","",'Employee Master'!C80)</f>
        <v/>
      </c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  <c r="AC80" s="89" t="n"/>
      <c r="AD80" s="89" t="n"/>
      <c r="AE80" s="89" t="n"/>
      <c r="AF80" s="89" t="n"/>
      <c r="AG80" s="89" t="n"/>
      <c r="AH80" s="89" t="n"/>
      <c r="AI80" s="70">
        <f>IF($A80="","",COUNTIF($D80:$AH80,"P"))</f>
        <v/>
      </c>
      <c r="AJ80" s="70">
        <f>IF($A80="","",COUNTIF($D80:$AH80,"AA")+COUNTIF($D80:$AH80,"SA")+COUNTIF($D80:$AH80,"EA")+COUNTIF($D80:$AH80,"OR")+COUNTIF($D80:$AH80,"WO")+COUNTIF($D80:$AH80,"H"))</f>
        <v/>
      </c>
      <c r="AK80" s="70">
        <f>IF($A80="","",COUNTIF($D80:$AH80,"UA"))</f>
        <v/>
      </c>
      <c r="AL80" s="70">
        <f>IF($A80="","",COUNTIF($D80:$AH80,"SA"))</f>
        <v/>
      </c>
      <c r="AM80" s="70">
        <f>IF($A80="","",COUNTIF($D80:$AH80,"EA"))</f>
        <v/>
      </c>
      <c r="AN80" s="70">
        <f>IF($A80="","",COUNTIF($D80:$AH80,"OR"))</f>
        <v/>
      </c>
      <c r="AO80" s="70">
        <f>IF($A80="","",COUNTIF($D80:$AH80,"WO"))</f>
        <v/>
      </c>
      <c r="AP80" s="70">
        <f>IF($A80="","",COUNTIF($D80:$AH80,"H"))</f>
        <v/>
      </c>
      <c r="AQ80" s="77" t="n"/>
      <c r="AR80" s="77" t="n"/>
      <c r="AS80" s="90">
        <f>IF(OR($A80="",$I$2=0),"",AI80/$I$2)</f>
        <v/>
      </c>
      <c r="AT80" s="90">
        <f>IF(OR($A80="",$I$2=0),"",(AI80+AJ80)/$I$2)</f>
        <v/>
      </c>
      <c r="AU80" s="70">
        <f>IF($A80="","",IF(OR($AK80&gt;=2,AND($AK80&gt;0,$AQ80=""),AND($AK80&gt;0,$AR80="")),"CRITICAL",IF(OR($AK80=1,AND(($AJ80)&gt;0,$AQ80=""),AND(($AJ80)&gt;0,$AR80=""),$AT80&lt;0.95),"REVIEW","OK")))</f>
        <v/>
      </c>
    </row>
    <row r="81" ht="18" customHeight="1" s="57">
      <c r="A81" s="87">
        <f>IF('Employee Master'!A81="","",'Employee Master'!A81)</f>
        <v/>
      </c>
      <c r="B81" s="88">
        <f>IF($A81="","",'Employee Master'!B81)</f>
        <v/>
      </c>
      <c r="C81" s="87">
        <f>IF($A81="","",'Employee Master'!C81)</f>
        <v/>
      </c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  <c r="AC81" s="89" t="n"/>
      <c r="AD81" s="89" t="n"/>
      <c r="AE81" s="89" t="n"/>
      <c r="AF81" s="89" t="n"/>
      <c r="AG81" s="89" t="n"/>
      <c r="AH81" s="89" t="n"/>
      <c r="AI81" s="70">
        <f>IF($A81="","",COUNTIF($D81:$AH81,"P"))</f>
        <v/>
      </c>
      <c r="AJ81" s="70">
        <f>IF($A81="","",COUNTIF($D81:$AH81,"AA")+COUNTIF($D81:$AH81,"SA")+COUNTIF($D81:$AH81,"EA")+COUNTIF($D81:$AH81,"OR")+COUNTIF($D81:$AH81,"WO")+COUNTIF($D81:$AH81,"H"))</f>
        <v/>
      </c>
      <c r="AK81" s="70">
        <f>IF($A81="","",COUNTIF($D81:$AH81,"UA"))</f>
        <v/>
      </c>
      <c r="AL81" s="70">
        <f>IF($A81="","",COUNTIF($D81:$AH81,"SA"))</f>
        <v/>
      </c>
      <c r="AM81" s="70">
        <f>IF($A81="","",COUNTIF($D81:$AH81,"EA"))</f>
        <v/>
      </c>
      <c r="AN81" s="70">
        <f>IF($A81="","",COUNTIF($D81:$AH81,"OR"))</f>
        <v/>
      </c>
      <c r="AO81" s="70">
        <f>IF($A81="","",COUNTIF($D81:$AH81,"WO"))</f>
        <v/>
      </c>
      <c r="AP81" s="70">
        <f>IF($A81="","",COUNTIF($D81:$AH81,"H"))</f>
        <v/>
      </c>
      <c r="AQ81" s="77" t="n"/>
      <c r="AR81" s="77" t="n"/>
      <c r="AS81" s="90">
        <f>IF(OR($A81="",$I$2=0),"",AI81/$I$2)</f>
        <v/>
      </c>
      <c r="AT81" s="90">
        <f>IF(OR($A81="",$I$2=0),"",(AI81+AJ81)/$I$2)</f>
        <v/>
      </c>
      <c r="AU81" s="70">
        <f>IF($A81="","",IF(OR($AK81&gt;=2,AND($AK81&gt;0,$AQ81=""),AND($AK81&gt;0,$AR81="")),"CRITICAL",IF(OR($AK81=1,AND(($AJ81)&gt;0,$AQ81=""),AND(($AJ81)&gt;0,$AR81=""),$AT81&lt;0.95),"REVIEW","OK")))</f>
        <v/>
      </c>
    </row>
    <row r="82" ht="18" customHeight="1" s="57">
      <c r="A82" s="87">
        <f>IF('Employee Master'!A82="","",'Employee Master'!A82)</f>
        <v/>
      </c>
      <c r="B82" s="88">
        <f>IF($A82="","",'Employee Master'!B82)</f>
        <v/>
      </c>
      <c r="C82" s="87">
        <f>IF($A82="","",'Employee Master'!C82)</f>
        <v/>
      </c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  <c r="AC82" s="89" t="n"/>
      <c r="AD82" s="89" t="n"/>
      <c r="AE82" s="89" t="n"/>
      <c r="AF82" s="89" t="n"/>
      <c r="AG82" s="89" t="n"/>
      <c r="AH82" s="89" t="n"/>
      <c r="AI82" s="70">
        <f>IF($A82="","",COUNTIF($D82:$AH82,"P"))</f>
        <v/>
      </c>
      <c r="AJ82" s="70">
        <f>IF($A82="","",COUNTIF($D82:$AH82,"AA")+COUNTIF($D82:$AH82,"SA")+COUNTIF($D82:$AH82,"EA")+COUNTIF($D82:$AH82,"OR")+COUNTIF($D82:$AH82,"WO")+COUNTIF($D82:$AH82,"H"))</f>
        <v/>
      </c>
      <c r="AK82" s="70">
        <f>IF($A82="","",COUNTIF($D82:$AH82,"UA"))</f>
        <v/>
      </c>
      <c r="AL82" s="70">
        <f>IF($A82="","",COUNTIF($D82:$AH82,"SA"))</f>
        <v/>
      </c>
      <c r="AM82" s="70">
        <f>IF($A82="","",COUNTIF($D82:$AH82,"EA"))</f>
        <v/>
      </c>
      <c r="AN82" s="70">
        <f>IF($A82="","",COUNTIF($D82:$AH82,"OR"))</f>
        <v/>
      </c>
      <c r="AO82" s="70">
        <f>IF($A82="","",COUNTIF($D82:$AH82,"WO"))</f>
        <v/>
      </c>
      <c r="AP82" s="70">
        <f>IF($A82="","",COUNTIF($D82:$AH82,"H"))</f>
        <v/>
      </c>
      <c r="AQ82" s="77" t="n"/>
      <c r="AR82" s="77" t="n"/>
      <c r="AS82" s="90">
        <f>IF(OR($A82="",$I$2=0),"",AI82/$I$2)</f>
        <v/>
      </c>
      <c r="AT82" s="90">
        <f>IF(OR($A82="",$I$2=0),"",(AI82+AJ82)/$I$2)</f>
        <v/>
      </c>
      <c r="AU82" s="70">
        <f>IF($A82="","",IF(OR($AK82&gt;=2,AND($AK82&gt;0,$AQ82=""),AND($AK82&gt;0,$AR82="")),"CRITICAL",IF(OR($AK82=1,AND(($AJ82)&gt;0,$AQ82=""),AND(($AJ82)&gt;0,$AR82=""),$AT82&lt;0.95),"REVIEW","OK")))</f>
        <v/>
      </c>
    </row>
    <row r="83" ht="18" customHeight="1" s="57">
      <c r="A83" s="87">
        <f>IF('Employee Master'!A83="","",'Employee Master'!A83)</f>
        <v/>
      </c>
      <c r="B83" s="88">
        <f>IF($A83="","",'Employee Master'!B83)</f>
        <v/>
      </c>
      <c r="C83" s="87">
        <f>IF($A83="","",'Employee Master'!C83)</f>
        <v/>
      </c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  <c r="AC83" s="89" t="n"/>
      <c r="AD83" s="89" t="n"/>
      <c r="AE83" s="89" t="n"/>
      <c r="AF83" s="89" t="n"/>
      <c r="AG83" s="89" t="n"/>
      <c r="AH83" s="89" t="n"/>
      <c r="AI83" s="70">
        <f>IF($A83="","",COUNTIF($D83:$AH83,"P"))</f>
        <v/>
      </c>
      <c r="AJ83" s="70">
        <f>IF($A83="","",COUNTIF($D83:$AH83,"AA")+COUNTIF($D83:$AH83,"SA")+COUNTIF($D83:$AH83,"EA")+COUNTIF($D83:$AH83,"OR")+COUNTIF($D83:$AH83,"WO")+COUNTIF($D83:$AH83,"H"))</f>
        <v/>
      </c>
      <c r="AK83" s="70">
        <f>IF($A83="","",COUNTIF($D83:$AH83,"UA"))</f>
        <v/>
      </c>
      <c r="AL83" s="70">
        <f>IF($A83="","",COUNTIF($D83:$AH83,"SA"))</f>
        <v/>
      </c>
      <c r="AM83" s="70">
        <f>IF($A83="","",COUNTIF($D83:$AH83,"EA"))</f>
        <v/>
      </c>
      <c r="AN83" s="70">
        <f>IF($A83="","",COUNTIF($D83:$AH83,"OR"))</f>
        <v/>
      </c>
      <c r="AO83" s="70">
        <f>IF($A83="","",COUNTIF($D83:$AH83,"WO"))</f>
        <v/>
      </c>
      <c r="AP83" s="70">
        <f>IF($A83="","",COUNTIF($D83:$AH83,"H"))</f>
        <v/>
      </c>
      <c r="AQ83" s="77" t="n"/>
      <c r="AR83" s="77" t="n"/>
      <c r="AS83" s="90">
        <f>IF(OR($A83="",$I$2=0),"",AI83/$I$2)</f>
        <v/>
      </c>
      <c r="AT83" s="90">
        <f>IF(OR($A83="",$I$2=0),"",(AI83+AJ83)/$I$2)</f>
        <v/>
      </c>
      <c r="AU83" s="70">
        <f>IF($A83="","",IF(OR($AK83&gt;=2,AND($AK83&gt;0,$AQ83=""),AND($AK83&gt;0,$AR83="")),"CRITICAL",IF(OR($AK83=1,AND(($AJ83)&gt;0,$AQ83=""),AND(($AJ83)&gt;0,$AR83=""),$AT83&lt;0.95),"REVIEW","OK")))</f>
        <v/>
      </c>
    </row>
    <row r="84" ht="18" customHeight="1" s="57">
      <c r="A84" s="87">
        <f>IF('Employee Master'!A84="","",'Employee Master'!A84)</f>
        <v/>
      </c>
      <c r="B84" s="88">
        <f>IF($A84="","",'Employee Master'!B84)</f>
        <v/>
      </c>
      <c r="C84" s="87">
        <f>IF($A84="","",'Employee Master'!C84)</f>
        <v/>
      </c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  <c r="AC84" s="89" t="n"/>
      <c r="AD84" s="89" t="n"/>
      <c r="AE84" s="89" t="n"/>
      <c r="AF84" s="89" t="n"/>
      <c r="AG84" s="89" t="n"/>
      <c r="AH84" s="89" t="n"/>
      <c r="AI84" s="70">
        <f>IF($A84="","",COUNTIF($D84:$AH84,"P"))</f>
        <v/>
      </c>
      <c r="AJ84" s="70">
        <f>IF($A84="","",COUNTIF($D84:$AH84,"AA")+COUNTIF($D84:$AH84,"SA")+COUNTIF($D84:$AH84,"EA")+COUNTIF($D84:$AH84,"OR")+COUNTIF($D84:$AH84,"WO")+COUNTIF($D84:$AH84,"H"))</f>
        <v/>
      </c>
      <c r="AK84" s="70">
        <f>IF($A84="","",COUNTIF($D84:$AH84,"UA"))</f>
        <v/>
      </c>
      <c r="AL84" s="70">
        <f>IF($A84="","",COUNTIF($D84:$AH84,"SA"))</f>
        <v/>
      </c>
      <c r="AM84" s="70">
        <f>IF($A84="","",COUNTIF($D84:$AH84,"EA"))</f>
        <v/>
      </c>
      <c r="AN84" s="70">
        <f>IF($A84="","",COUNTIF($D84:$AH84,"OR"))</f>
        <v/>
      </c>
      <c r="AO84" s="70">
        <f>IF($A84="","",COUNTIF($D84:$AH84,"WO"))</f>
        <v/>
      </c>
      <c r="AP84" s="70">
        <f>IF($A84="","",COUNTIF($D84:$AH84,"H"))</f>
        <v/>
      </c>
      <c r="AQ84" s="77" t="n"/>
      <c r="AR84" s="77" t="n"/>
      <c r="AS84" s="90">
        <f>IF(OR($A84="",$I$2=0),"",AI84/$I$2)</f>
        <v/>
      </c>
      <c r="AT84" s="90">
        <f>IF(OR($A84="",$I$2=0),"",(AI84+AJ84)/$I$2)</f>
        <v/>
      </c>
      <c r="AU84" s="70">
        <f>IF($A84="","",IF(OR($AK84&gt;=2,AND($AK84&gt;0,$AQ84=""),AND($AK84&gt;0,$AR84="")),"CRITICAL",IF(OR($AK84=1,AND(($AJ84)&gt;0,$AQ84=""),AND(($AJ84)&gt;0,$AR84=""),$AT84&lt;0.95),"REVIEW","OK")))</f>
        <v/>
      </c>
    </row>
    <row r="85" ht="18" customHeight="1" s="57">
      <c r="A85" s="87">
        <f>IF('Employee Master'!A85="","",'Employee Master'!A85)</f>
        <v/>
      </c>
      <c r="B85" s="88">
        <f>IF($A85="","",'Employee Master'!B85)</f>
        <v/>
      </c>
      <c r="C85" s="87">
        <f>IF($A85="","",'Employee Master'!C85)</f>
        <v/>
      </c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  <c r="AC85" s="89" t="n"/>
      <c r="AD85" s="89" t="n"/>
      <c r="AE85" s="89" t="n"/>
      <c r="AF85" s="89" t="n"/>
      <c r="AG85" s="89" t="n"/>
      <c r="AH85" s="89" t="n"/>
      <c r="AI85" s="70">
        <f>IF($A85="","",COUNTIF($D85:$AH85,"P"))</f>
        <v/>
      </c>
      <c r="AJ85" s="70">
        <f>IF($A85="","",COUNTIF($D85:$AH85,"AA")+COUNTIF($D85:$AH85,"SA")+COUNTIF($D85:$AH85,"EA")+COUNTIF($D85:$AH85,"OR")+COUNTIF($D85:$AH85,"WO")+COUNTIF($D85:$AH85,"H"))</f>
        <v/>
      </c>
      <c r="AK85" s="70">
        <f>IF($A85="","",COUNTIF($D85:$AH85,"UA"))</f>
        <v/>
      </c>
      <c r="AL85" s="70">
        <f>IF($A85="","",COUNTIF($D85:$AH85,"SA"))</f>
        <v/>
      </c>
      <c r="AM85" s="70">
        <f>IF($A85="","",COUNTIF($D85:$AH85,"EA"))</f>
        <v/>
      </c>
      <c r="AN85" s="70">
        <f>IF($A85="","",COUNTIF($D85:$AH85,"OR"))</f>
        <v/>
      </c>
      <c r="AO85" s="70">
        <f>IF($A85="","",COUNTIF($D85:$AH85,"WO"))</f>
        <v/>
      </c>
      <c r="AP85" s="70">
        <f>IF($A85="","",COUNTIF($D85:$AH85,"H"))</f>
        <v/>
      </c>
      <c r="AQ85" s="77" t="n"/>
      <c r="AR85" s="77" t="n"/>
      <c r="AS85" s="90">
        <f>IF(OR($A85="",$I$2=0),"",AI85/$I$2)</f>
        <v/>
      </c>
      <c r="AT85" s="90">
        <f>IF(OR($A85="",$I$2=0),"",(AI85+AJ85)/$I$2)</f>
        <v/>
      </c>
      <c r="AU85" s="70">
        <f>IF($A85="","",IF(OR($AK85&gt;=2,AND($AK85&gt;0,$AQ85=""),AND($AK85&gt;0,$AR85="")),"CRITICAL",IF(OR($AK85=1,AND(($AJ85)&gt;0,$AQ85=""),AND(($AJ85)&gt;0,$AR85=""),$AT85&lt;0.95),"REVIEW","OK")))</f>
        <v/>
      </c>
    </row>
    <row r="86" ht="18" customHeight="1" s="57">
      <c r="A86" s="87">
        <f>IF('Employee Master'!A86="","",'Employee Master'!A86)</f>
        <v/>
      </c>
      <c r="B86" s="88">
        <f>IF($A86="","",'Employee Master'!B86)</f>
        <v/>
      </c>
      <c r="C86" s="87">
        <f>IF($A86="","",'Employee Master'!C86)</f>
        <v/>
      </c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  <c r="AC86" s="89" t="n"/>
      <c r="AD86" s="89" t="n"/>
      <c r="AE86" s="89" t="n"/>
      <c r="AF86" s="89" t="n"/>
      <c r="AG86" s="89" t="n"/>
      <c r="AH86" s="89" t="n"/>
      <c r="AI86" s="70">
        <f>IF($A86="","",COUNTIF($D86:$AH86,"P"))</f>
        <v/>
      </c>
      <c r="AJ86" s="70">
        <f>IF($A86="","",COUNTIF($D86:$AH86,"AA")+COUNTIF($D86:$AH86,"SA")+COUNTIF($D86:$AH86,"EA")+COUNTIF($D86:$AH86,"OR")+COUNTIF($D86:$AH86,"WO")+COUNTIF($D86:$AH86,"H"))</f>
        <v/>
      </c>
      <c r="AK86" s="70">
        <f>IF($A86="","",COUNTIF($D86:$AH86,"UA"))</f>
        <v/>
      </c>
      <c r="AL86" s="70">
        <f>IF($A86="","",COUNTIF($D86:$AH86,"SA"))</f>
        <v/>
      </c>
      <c r="AM86" s="70">
        <f>IF($A86="","",COUNTIF($D86:$AH86,"EA"))</f>
        <v/>
      </c>
      <c r="AN86" s="70">
        <f>IF($A86="","",COUNTIF($D86:$AH86,"OR"))</f>
        <v/>
      </c>
      <c r="AO86" s="70">
        <f>IF($A86="","",COUNTIF($D86:$AH86,"WO"))</f>
        <v/>
      </c>
      <c r="AP86" s="70">
        <f>IF($A86="","",COUNTIF($D86:$AH86,"H"))</f>
        <v/>
      </c>
      <c r="AQ86" s="77" t="n"/>
      <c r="AR86" s="77" t="n"/>
      <c r="AS86" s="90">
        <f>IF(OR($A86="",$I$2=0),"",AI86/$I$2)</f>
        <v/>
      </c>
      <c r="AT86" s="90">
        <f>IF(OR($A86="",$I$2=0),"",(AI86+AJ86)/$I$2)</f>
        <v/>
      </c>
      <c r="AU86" s="70">
        <f>IF($A86="","",IF(OR($AK86&gt;=2,AND($AK86&gt;0,$AQ86=""),AND($AK86&gt;0,$AR86="")),"CRITICAL",IF(OR($AK86=1,AND(($AJ86)&gt;0,$AQ86=""),AND(($AJ86)&gt;0,$AR86=""),$AT86&lt;0.95),"REVIEW","OK")))</f>
        <v/>
      </c>
    </row>
    <row r="87" ht="18" customHeight="1" s="57">
      <c r="A87" s="87">
        <f>IF('Employee Master'!A87="","",'Employee Master'!A87)</f>
        <v/>
      </c>
      <c r="B87" s="88">
        <f>IF($A87="","",'Employee Master'!B87)</f>
        <v/>
      </c>
      <c r="C87" s="87">
        <f>IF($A87="","",'Employee Master'!C87)</f>
        <v/>
      </c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  <c r="AC87" s="89" t="n"/>
      <c r="AD87" s="89" t="n"/>
      <c r="AE87" s="89" t="n"/>
      <c r="AF87" s="89" t="n"/>
      <c r="AG87" s="89" t="n"/>
      <c r="AH87" s="89" t="n"/>
      <c r="AI87" s="70">
        <f>IF($A87="","",COUNTIF($D87:$AH87,"P"))</f>
        <v/>
      </c>
      <c r="AJ87" s="70">
        <f>IF($A87="","",COUNTIF($D87:$AH87,"AA")+COUNTIF($D87:$AH87,"SA")+COUNTIF($D87:$AH87,"EA")+COUNTIF($D87:$AH87,"OR")+COUNTIF($D87:$AH87,"WO")+COUNTIF($D87:$AH87,"H"))</f>
        <v/>
      </c>
      <c r="AK87" s="70">
        <f>IF($A87="","",COUNTIF($D87:$AH87,"UA"))</f>
        <v/>
      </c>
      <c r="AL87" s="70">
        <f>IF($A87="","",COUNTIF($D87:$AH87,"SA"))</f>
        <v/>
      </c>
      <c r="AM87" s="70">
        <f>IF($A87="","",COUNTIF($D87:$AH87,"EA"))</f>
        <v/>
      </c>
      <c r="AN87" s="70">
        <f>IF($A87="","",COUNTIF($D87:$AH87,"OR"))</f>
        <v/>
      </c>
      <c r="AO87" s="70">
        <f>IF($A87="","",COUNTIF($D87:$AH87,"WO"))</f>
        <v/>
      </c>
      <c r="AP87" s="70">
        <f>IF($A87="","",COUNTIF($D87:$AH87,"H"))</f>
        <v/>
      </c>
      <c r="AQ87" s="77" t="n"/>
      <c r="AR87" s="77" t="n"/>
      <c r="AS87" s="90">
        <f>IF(OR($A87="",$I$2=0),"",AI87/$I$2)</f>
        <v/>
      </c>
      <c r="AT87" s="90">
        <f>IF(OR($A87="",$I$2=0),"",(AI87+AJ87)/$I$2)</f>
        <v/>
      </c>
      <c r="AU87" s="70">
        <f>IF($A87="","",IF(OR($AK87&gt;=2,AND($AK87&gt;0,$AQ87=""),AND($AK87&gt;0,$AR87="")),"CRITICAL",IF(OR($AK87=1,AND(($AJ87)&gt;0,$AQ87=""),AND(($AJ87)&gt;0,$AR87=""),$AT87&lt;0.95),"REVIEW","OK")))</f>
        <v/>
      </c>
    </row>
    <row r="88" ht="18" customHeight="1" s="57">
      <c r="A88" s="87">
        <f>IF('Employee Master'!A88="","",'Employee Master'!A88)</f>
        <v/>
      </c>
      <c r="B88" s="88">
        <f>IF($A88="","",'Employee Master'!B88)</f>
        <v/>
      </c>
      <c r="C88" s="87">
        <f>IF($A88="","",'Employee Master'!C88)</f>
        <v/>
      </c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70">
        <f>IF($A88="","",COUNTIF($D88:$AH88,"P"))</f>
        <v/>
      </c>
      <c r="AJ88" s="70">
        <f>IF($A88="","",COUNTIF($D88:$AH88,"AA")+COUNTIF($D88:$AH88,"SA")+COUNTIF($D88:$AH88,"EA")+COUNTIF($D88:$AH88,"OR")+COUNTIF($D88:$AH88,"WO")+COUNTIF($D88:$AH88,"H"))</f>
        <v/>
      </c>
      <c r="AK88" s="70">
        <f>IF($A88="","",COUNTIF($D88:$AH88,"UA"))</f>
        <v/>
      </c>
      <c r="AL88" s="70">
        <f>IF($A88="","",COUNTIF($D88:$AH88,"SA"))</f>
        <v/>
      </c>
      <c r="AM88" s="70">
        <f>IF($A88="","",COUNTIF($D88:$AH88,"EA"))</f>
        <v/>
      </c>
      <c r="AN88" s="70">
        <f>IF($A88="","",COUNTIF($D88:$AH88,"OR"))</f>
        <v/>
      </c>
      <c r="AO88" s="70">
        <f>IF($A88="","",COUNTIF($D88:$AH88,"WO"))</f>
        <v/>
      </c>
      <c r="AP88" s="70">
        <f>IF($A88="","",COUNTIF($D88:$AH88,"H"))</f>
        <v/>
      </c>
      <c r="AQ88" s="77" t="n"/>
      <c r="AR88" s="77" t="n"/>
      <c r="AS88" s="90">
        <f>IF(OR($A88="",$I$2=0),"",AI88/$I$2)</f>
        <v/>
      </c>
      <c r="AT88" s="90">
        <f>IF(OR($A88="",$I$2=0),"",(AI88+AJ88)/$I$2)</f>
        <v/>
      </c>
      <c r="AU88" s="70">
        <f>IF($A88="","",IF(OR($AK88&gt;=2,AND($AK88&gt;0,$AQ88=""),AND($AK88&gt;0,$AR88="")),"CRITICAL",IF(OR($AK88=1,AND(($AJ88)&gt;0,$AQ88=""),AND(($AJ88)&gt;0,$AR88=""),$AT88&lt;0.95),"REVIEW","OK")))</f>
        <v/>
      </c>
    </row>
    <row r="89" ht="18" customHeight="1" s="57">
      <c r="A89" s="87">
        <f>IF('Employee Master'!A89="","",'Employee Master'!A89)</f>
        <v/>
      </c>
      <c r="B89" s="88">
        <f>IF($A89="","",'Employee Master'!B89)</f>
        <v/>
      </c>
      <c r="C89" s="87">
        <f>IF($A89="","",'Employee Master'!C89)</f>
        <v/>
      </c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  <c r="AC89" s="89" t="n"/>
      <c r="AD89" s="89" t="n"/>
      <c r="AE89" s="89" t="n"/>
      <c r="AF89" s="89" t="n"/>
      <c r="AG89" s="89" t="n"/>
      <c r="AH89" s="89" t="n"/>
      <c r="AI89" s="70">
        <f>IF($A89="","",COUNTIF($D89:$AH89,"P"))</f>
        <v/>
      </c>
      <c r="AJ89" s="70">
        <f>IF($A89="","",COUNTIF($D89:$AH89,"AA")+COUNTIF($D89:$AH89,"SA")+COUNTIF($D89:$AH89,"EA")+COUNTIF($D89:$AH89,"OR")+COUNTIF($D89:$AH89,"WO")+COUNTIF($D89:$AH89,"H"))</f>
        <v/>
      </c>
      <c r="AK89" s="70">
        <f>IF($A89="","",COUNTIF($D89:$AH89,"UA"))</f>
        <v/>
      </c>
      <c r="AL89" s="70">
        <f>IF($A89="","",COUNTIF($D89:$AH89,"SA"))</f>
        <v/>
      </c>
      <c r="AM89" s="70">
        <f>IF($A89="","",COUNTIF($D89:$AH89,"EA"))</f>
        <v/>
      </c>
      <c r="AN89" s="70">
        <f>IF($A89="","",COUNTIF($D89:$AH89,"OR"))</f>
        <v/>
      </c>
      <c r="AO89" s="70">
        <f>IF($A89="","",COUNTIF($D89:$AH89,"WO"))</f>
        <v/>
      </c>
      <c r="AP89" s="70">
        <f>IF($A89="","",COUNTIF($D89:$AH89,"H"))</f>
        <v/>
      </c>
      <c r="AQ89" s="77" t="n"/>
      <c r="AR89" s="77" t="n"/>
      <c r="AS89" s="90">
        <f>IF(OR($A89="",$I$2=0),"",AI89/$I$2)</f>
        <v/>
      </c>
      <c r="AT89" s="90">
        <f>IF(OR($A89="",$I$2=0),"",(AI89+AJ89)/$I$2)</f>
        <v/>
      </c>
      <c r="AU89" s="70">
        <f>IF($A89="","",IF(OR($AK89&gt;=2,AND($AK89&gt;0,$AQ89=""),AND($AK89&gt;0,$AR89="")),"CRITICAL",IF(OR($AK89=1,AND(($AJ89)&gt;0,$AQ89=""),AND(($AJ89)&gt;0,$AR89=""),$AT89&lt;0.95),"REVIEW","OK")))</f>
        <v/>
      </c>
    </row>
    <row r="90" ht="18" customHeight="1" s="57">
      <c r="A90" s="87">
        <f>IF('Employee Master'!A90="","",'Employee Master'!A90)</f>
        <v/>
      </c>
      <c r="B90" s="88">
        <f>IF($A90="","",'Employee Master'!B90)</f>
        <v/>
      </c>
      <c r="C90" s="87">
        <f>IF($A90="","",'Employee Master'!C90)</f>
        <v/>
      </c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  <c r="AC90" s="89" t="n"/>
      <c r="AD90" s="89" t="n"/>
      <c r="AE90" s="89" t="n"/>
      <c r="AF90" s="89" t="n"/>
      <c r="AG90" s="89" t="n"/>
      <c r="AH90" s="89" t="n"/>
      <c r="AI90" s="70">
        <f>IF($A90="","",COUNTIF($D90:$AH90,"P"))</f>
        <v/>
      </c>
      <c r="AJ90" s="70">
        <f>IF($A90="","",COUNTIF($D90:$AH90,"AA")+COUNTIF($D90:$AH90,"SA")+COUNTIF($D90:$AH90,"EA")+COUNTIF($D90:$AH90,"OR")+COUNTIF($D90:$AH90,"WO")+COUNTIF($D90:$AH90,"H"))</f>
        <v/>
      </c>
      <c r="AK90" s="70">
        <f>IF($A90="","",COUNTIF($D90:$AH90,"UA"))</f>
        <v/>
      </c>
      <c r="AL90" s="70">
        <f>IF($A90="","",COUNTIF($D90:$AH90,"SA"))</f>
        <v/>
      </c>
      <c r="AM90" s="70">
        <f>IF($A90="","",COUNTIF($D90:$AH90,"EA"))</f>
        <v/>
      </c>
      <c r="AN90" s="70">
        <f>IF($A90="","",COUNTIF($D90:$AH90,"OR"))</f>
        <v/>
      </c>
      <c r="AO90" s="70">
        <f>IF($A90="","",COUNTIF($D90:$AH90,"WO"))</f>
        <v/>
      </c>
      <c r="AP90" s="70">
        <f>IF($A90="","",COUNTIF($D90:$AH90,"H"))</f>
        <v/>
      </c>
      <c r="AQ90" s="77" t="n"/>
      <c r="AR90" s="77" t="n"/>
      <c r="AS90" s="90">
        <f>IF(OR($A90="",$I$2=0),"",AI90/$I$2)</f>
        <v/>
      </c>
      <c r="AT90" s="90">
        <f>IF(OR($A90="",$I$2=0),"",(AI90+AJ90)/$I$2)</f>
        <v/>
      </c>
      <c r="AU90" s="70">
        <f>IF($A90="","",IF(OR($AK90&gt;=2,AND($AK90&gt;0,$AQ90=""),AND($AK90&gt;0,$AR90="")),"CRITICAL",IF(OR($AK90=1,AND(($AJ90)&gt;0,$AQ90=""),AND(($AJ90)&gt;0,$AR90=""),$AT90&lt;0.95),"REVIEW","OK")))</f>
        <v/>
      </c>
    </row>
    <row r="91" ht="18" customHeight="1" s="57">
      <c r="A91" s="87">
        <f>IF('Employee Master'!A91="","",'Employee Master'!A91)</f>
        <v/>
      </c>
      <c r="B91" s="88">
        <f>IF($A91="","",'Employee Master'!B91)</f>
        <v/>
      </c>
      <c r="C91" s="87">
        <f>IF($A91="","",'Employee Master'!C91)</f>
        <v/>
      </c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  <c r="AC91" s="89" t="n"/>
      <c r="AD91" s="89" t="n"/>
      <c r="AE91" s="89" t="n"/>
      <c r="AF91" s="89" t="n"/>
      <c r="AG91" s="89" t="n"/>
      <c r="AH91" s="89" t="n"/>
      <c r="AI91" s="70">
        <f>IF($A91="","",COUNTIF($D91:$AH91,"P"))</f>
        <v/>
      </c>
      <c r="AJ91" s="70">
        <f>IF($A91="","",COUNTIF($D91:$AH91,"AA")+COUNTIF($D91:$AH91,"SA")+COUNTIF($D91:$AH91,"EA")+COUNTIF($D91:$AH91,"OR")+COUNTIF($D91:$AH91,"WO")+COUNTIF($D91:$AH91,"H"))</f>
        <v/>
      </c>
      <c r="AK91" s="70">
        <f>IF($A91="","",COUNTIF($D91:$AH91,"UA"))</f>
        <v/>
      </c>
      <c r="AL91" s="70">
        <f>IF($A91="","",COUNTIF($D91:$AH91,"SA"))</f>
        <v/>
      </c>
      <c r="AM91" s="70">
        <f>IF($A91="","",COUNTIF($D91:$AH91,"EA"))</f>
        <v/>
      </c>
      <c r="AN91" s="70">
        <f>IF($A91="","",COUNTIF($D91:$AH91,"OR"))</f>
        <v/>
      </c>
      <c r="AO91" s="70">
        <f>IF($A91="","",COUNTIF($D91:$AH91,"WO"))</f>
        <v/>
      </c>
      <c r="AP91" s="70">
        <f>IF($A91="","",COUNTIF($D91:$AH91,"H"))</f>
        <v/>
      </c>
      <c r="AQ91" s="77" t="n"/>
      <c r="AR91" s="77" t="n"/>
      <c r="AS91" s="90">
        <f>IF(OR($A91="",$I$2=0),"",AI91/$I$2)</f>
        <v/>
      </c>
      <c r="AT91" s="90">
        <f>IF(OR($A91="",$I$2=0),"",(AI91+AJ91)/$I$2)</f>
        <v/>
      </c>
      <c r="AU91" s="70">
        <f>IF($A91="","",IF(OR($AK91&gt;=2,AND($AK91&gt;0,$AQ91=""),AND($AK91&gt;0,$AR91="")),"CRITICAL",IF(OR($AK91=1,AND(($AJ91)&gt;0,$AQ91=""),AND(($AJ91)&gt;0,$AR91=""),$AT91&lt;0.95),"REVIEW","OK")))</f>
        <v/>
      </c>
    </row>
    <row r="92" ht="18" customHeight="1" s="57">
      <c r="A92" s="87">
        <f>IF('Employee Master'!A92="","",'Employee Master'!A92)</f>
        <v/>
      </c>
      <c r="B92" s="88">
        <f>IF($A92="","",'Employee Master'!B92)</f>
        <v/>
      </c>
      <c r="C92" s="87">
        <f>IF($A92="","",'Employee Master'!C92)</f>
        <v/>
      </c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70">
        <f>IF($A92="","",COUNTIF($D92:$AH92,"P"))</f>
        <v/>
      </c>
      <c r="AJ92" s="70">
        <f>IF($A92="","",COUNTIF($D92:$AH92,"AA")+COUNTIF($D92:$AH92,"SA")+COUNTIF($D92:$AH92,"EA")+COUNTIF($D92:$AH92,"OR")+COUNTIF($D92:$AH92,"WO")+COUNTIF($D92:$AH92,"H"))</f>
        <v/>
      </c>
      <c r="AK92" s="70">
        <f>IF($A92="","",COUNTIF($D92:$AH92,"UA"))</f>
        <v/>
      </c>
      <c r="AL92" s="70">
        <f>IF($A92="","",COUNTIF($D92:$AH92,"SA"))</f>
        <v/>
      </c>
      <c r="AM92" s="70">
        <f>IF($A92="","",COUNTIF($D92:$AH92,"EA"))</f>
        <v/>
      </c>
      <c r="AN92" s="70">
        <f>IF($A92="","",COUNTIF($D92:$AH92,"OR"))</f>
        <v/>
      </c>
      <c r="AO92" s="70">
        <f>IF($A92="","",COUNTIF($D92:$AH92,"WO"))</f>
        <v/>
      </c>
      <c r="AP92" s="70">
        <f>IF($A92="","",COUNTIF($D92:$AH92,"H"))</f>
        <v/>
      </c>
      <c r="AQ92" s="77" t="n"/>
      <c r="AR92" s="77" t="n"/>
      <c r="AS92" s="90">
        <f>IF(OR($A92="",$I$2=0),"",AI92/$I$2)</f>
        <v/>
      </c>
      <c r="AT92" s="90">
        <f>IF(OR($A92="",$I$2=0),"",(AI92+AJ92)/$I$2)</f>
        <v/>
      </c>
      <c r="AU92" s="70">
        <f>IF($A92="","",IF(OR($AK92&gt;=2,AND($AK92&gt;0,$AQ92=""),AND($AK92&gt;0,$AR92="")),"CRITICAL",IF(OR($AK92=1,AND(($AJ92)&gt;0,$AQ92=""),AND(($AJ92)&gt;0,$AR92=""),$AT92&lt;0.95),"REVIEW","OK")))</f>
        <v/>
      </c>
    </row>
    <row r="93" ht="18" customHeight="1" s="57">
      <c r="A93" s="87">
        <f>IF('Employee Master'!A93="","",'Employee Master'!A93)</f>
        <v/>
      </c>
      <c r="B93" s="88">
        <f>IF($A93="","",'Employee Master'!B93)</f>
        <v/>
      </c>
      <c r="C93" s="87">
        <f>IF($A93="","",'Employee Master'!C93)</f>
        <v/>
      </c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  <c r="AC93" s="89" t="n"/>
      <c r="AD93" s="89" t="n"/>
      <c r="AE93" s="89" t="n"/>
      <c r="AF93" s="89" t="n"/>
      <c r="AG93" s="89" t="n"/>
      <c r="AH93" s="89" t="n"/>
      <c r="AI93" s="70">
        <f>IF($A93="","",COUNTIF($D93:$AH93,"P"))</f>
        <v/>
      </c>
      <c r="AJ93" s="70">
        <f>IF($A93="","",COUNTIF($D93:$AH93,"AA")+COUNTIF($D93:$AH93,"SA")+COUNTIF($D93:$AH93,"EA")+COUNTIF($D93:$AH93,"OR")+COUNTIF($D93:$AH93,"WO")+COUNTIF($D93:$AH93,"H"))</f>
        <v/>
      </c>
      <c r="AK93" s="70">
        <f>IF($A93="","",COUNTIF($D93:$AH93,"UA"))</f>
        <v/>
      </c>
      <c r="AL93" s="70">
        <f>IF($A93="","",COUNTIF($D93:$AH93,"SA"))</f>
        <v/>
      </c>
      <c r="AM93" s="70">
        <f>IF($A93="","",COUNTIF($D93:$AH93,"EA"))</f>
        <v/>
      </c>
      <c r="AN93" s="70">
        <f>IF($A93="","",COUNTIF($D93:$AH93,"OR"))</f>
        <v/>
      </c>
      <c r="AO93" s="70">
        <f>IF($A93="","",COUNTIF($D93:$AH93,"WO"))</f>
        <v/>
      </c>
      <c r="AP93" s="70">
        <f>IF($A93="","",COUNTIF($D93:$AH93,"H"))</f>
        <v/>
      </c>
      <c r="AQ93" s="77" t="n"/>
      <c r="AR93" s="77" t="n"/>
      <c r="AS93" s="90">
        <f>IF(OR($A93="",$I$2=0),"",AI93/$I$2)</f>
        <v/>
      </c>
      <c r="AT93" s="90">
        <f>IF(OR($A93="",$I$2=0),"",(AI93+AJ93)/$I$2)</f>
        <v/>
      </c>
      <c r="AU93" s="70">
        <f>IF($A93="","",IF(OR($AK93&gt;=2,AND($AK93&gt;0,$AQ93=""),AND($AK93&gt;0,$AR93="")),"CRITICAL",IF(OR($AK93=1,AND(($AJ93)&gt;0,$AQ93=""),AND(($AJ93)&gt;0,$AR93=""),$AT93&lt;0.95),"REVIEW","OK")))</f>
        <v/>
      </c>
    </row>
    <row r="94" ht="18" customHeight="1" s="57">
      <c r="A94" s="87">
        <f>IF('Employee Master'!A94="","",'Employee Master'!A94)</f>
        <v/>
      </c>
      <c r="B94" s="88">
        <f>IF($A94="","",'Employee Master'!B94)</f>
        <v/>
      </c>
      <c r="C94" s="87">
        <f>IF($A94="","",'Employee Master'!C94)</f>
        <v/>
      </c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  <c r="AC94" s="89" t="n"/>
      <c r="AD94" s="89" t="n"/>
      <c r="AE94" s="89" t="n"/>
      <c r="AF94" s="89" t="n"/>
      <c r="AG94" s="89" t="n"/>
      <c r="AH94" s="89" t="n"/>
      <c r="AI94" s="70">
        <f>IF($A94="","",COUNTIF($D94:$AH94,"P"))</f>
        <v/>
      </c>
      <c r="AJ94" s="70">
        <f>IF($A94="","",COUNTIF($D94:$AH94,"AA")+COUNTIF($D94:$AH94,"SA")+COUNTIF($D94:$AH94,"EA")+COUNTIF($D94:$AH94,"OR")+COUNTIF($D94:$AH94,"WO")+COUNTIF($D94:$AH94,"H"))</f>
        <v/>
      </c>
      <c r="AK94" s="70">
        <f>IF($A94="","",COUNTIF($D94:$AH94,"UA"))</f>
        <v/>
      </c>
      <c r="AL94" s="70">
        <f>IF($A94="","",COUNTIF($D94:$AH94,"SA"))</f>
        <v/>
      </c>
      <c r="AM94" s="70">
        <f>IF($A94="","",COUNTIF($D94:$AH94,"EA"))</f>
        <v/>
      </c>
      <c r="AN94" s="70">
        <f>IF($A94="","",COUNTIF($D94:$AH94,"OR"))</f>
        <v/>
      </c>
      <c r="AO94" s="70">
        <f>IF($A94="","",COUNTIF($D94:$AH94,"WO"))</f>
        <v/>
      </c>
      <c r="AP94" s="70">
        <f>IF($A94="","",COUNTIF($D94:$AH94,"H"))</f>
        <v/>
      </c>
      <c r="AQ94" s="77" t="n"/>
      <c r="AR94" s="77" t="n"/>
      <c r="AS94" s="90">
        <f>IF(OR($A94="",$I$2=0),"",AI94/$I$2)</f>
        <v/>
      </c>
      <c r="AT94" s="90">
        <f>IF(OR($A94="",$I$2=0),"",(AI94+AJ94)/$I$2)</f>
        <v/>
      </c>
      <c r="AU94" s="70">
        <f>IF($A94="","",IF(OR($AK94&gt;=2,AND($AK94&gt;0,$AQ94=""),AND($AK94&gt;0,$AR94="")),"CRITICAL",IF(OR($AK94=1,AND(($AJ94)&gt;0,$AQ94=""),AND(($AJ94)&gt;0,$AR94=""),$AT94&lt;0.95),"REVIEW","OK")))</f>
        <v/>
      </c>
    </row>
    <row r="95" ht="18" customHeight="1" s="57">
      <c r="A95" s="87">
        <f>IF('Employee Master'!A95="","",'Employee Master'!A95)</f>
        <v/>
      </c>
      <c r="B95" s="88">
        <f>IF($A95="","",'Employee Master'!B95)</f>
        <v/>
      </c>
      <c r="C95" s="87">
        <f>IF($A95="","",'Employee Master'!C95)</f>
        <v/>
      </c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  <c r="AC95" s="89" t="n"/>
      <c r="AD95" s="89" t="n"/>
      <c r="AE95" s="89" t="n"/>
      <c r="AF95" s="89" t="n"/>
      <c r="AG95" s="89" t="n"/>
      <c r="AH95" s="89" t="n"/>
      <c r="AI95" s="70">
        <f>IF($A95="","",COUNTIF($D95:$AH95,"P"))</f>
        <v/>
      </c>
      <c r="AJ95" s="70">
        <f>IF($A95="","",COUNTIF($D95:$AH95,"AA")+COUNTIF($D95:$AH95,"SA")+COUNTIF($D95:$AH95,"EA")+COUNTIF($D95:$AH95,"OR")+COUNTIF($D95:$AH95,"WO")+COUNTIF($D95:$AH95,"H"))</f>
        <v/>
      </c>
      <c r="AK95" s="70">
        <f>IF($A95="","",COUNTIF($D95:$AH95,"UA"))</f>
        <v/>
      </c>
      <c r="AL95" s="70">
        <f>IF($A95="","",COUNTIF($D95:$AH95,"SA"))</f>
        <v/>
      </c>
      <c r="AM95" s="70">
        <f>IF($A95="","",COUNTIF($D95:$AH95,"EA"))</f>
        <v/>
      </c>
      <c r="AN95" s="70">
        <f>IF($A95="","",COUNTIF($D95:$AH95,"OR"))</f>
        <v/>
      </c>
      <c r="AO95" s="70">
        <f>IF($A95="","",COUNTIF($D95:$AH95,"WO"))</f>
        <v/>
      </c>
      <c r="AP95" s="70">
        <f>IF($A95="","",COUNTIF($D95:$AH95,"H"))</f>
        <v/>
      </c>
      <c r="AQ95" s="77" t="n"/>
      <c r="AR95" s="77" t="n"/>
      <c r="AS95" s="90">
        <f>IF(OR($A95="",$I$2=0),"",AI95/$I$2)</f>
        <v/>
      </c>
      <c r="AT95" s="90">
        <f>IF(OR($A95="",$I$2=0),"",(AI95+AJ95)/$I$2)</f>
        <v/>
      </c>
      <c r="AU95" s="70">
        <f>IF($A95="","",IF(OR($AK95&gt;=2,AND($AK95&gt;0,$AQ95=""),AND($AK95&gt;0,$AR95="")),"CRITICAL",IF(OR($AK95=1,AND(($AJ95)&gt;0,$AQ95=""),AND(($AJ95)&gt;0,$AR95=""),$AT95&lt;0.95),"REVIEW","OK")))</f>
        <v/>
      </c>
    </row>
    <row r="96" ht="18" customHeight="1" s="57">
      <c r="A96" s="87">
        <f>IF('Employee Master'!A96="","",'Employee Master'!A96)</f>
        <v/>
      </c>
      <c r="B96" s="88">
        <f>IF($A96="","",'Employee Master'!B96)</f>
        <v/>
      </c>
      <c r="C96" s="87">
        <f>IF($A96="","",'Employee Master'!C96)</f>
        <v/>
      </c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  <c r="AC96" s="89" t="n"/>
      <c r="AD96" s="89" t="n"/>
      <c r="AE96" s="89" t="n"/>
      <c r="AF96" s="89" t="n"/>
      <c r="AG96" s="89" t="n"/>
      <c r="AH96" s="89" t="n"/>
      <c r="AI96" s="70">
        <f>IF($A96="","",COUNTIF($D96:$AH96,"P"))</f>
        <v/>
      </c>
      <c r="AJ96" s="70">
        <f>IF($A96="","",COUNTIF($D96:$AH96,"AA")+COUNTIF($D96:$AH96,"SA")+COUNTIF($D96:$AH96,"EA")+COUNTIF($D96:$AH96,"OR")+COUNTIF($D96:$AH96,"WO")+COUNTIF($D96:$AH96,"H"))</f>
        <v/>
      </c>
      <c r="AK96" s="70">
        <f>IF($A96="","",COUNTIF($D96:$AH96,"UA"))</f>
        <v/>
      </c>
      <c r="AL96" s="70">
        <f>IF($A96="","",COUNTIF($D96:$AH96,"SA"))</f>
        <v/>
      </c>
      <c r="AM96" s="70">
        <f>IF($A96="","",COUNTIF($D96:$AH96,"EA"))</f>
        <v/>
      </c>
      <c r="AN96" s="70">
        <f>IF($A96="","",COUNTIF($D96:$AH96,"OR"))</f>
        <v/>
      </c>
      <c r="AO96" s="70">
        <f>IF($A96="","",COUNTIF($D96:$AH96,"WO"))</f>
        <v/>
      </c>
      <c r="AP96" s="70">
        <f>IF($A96="","",COUNTIF($D96:$AH96,"H"))</f>
        <v/>
      </c>
      <c r="AQ96" s="77" t="n"/>
      <c r="AR96" s="77" t="n"/>
      <c r="AS96" s="90">
        <f>IF(OR($A96="",$I$2=0),"",AI96/$I$2)</f>
        <v/>
      </c>
      <c r="AT96" s="90">
        <f>IF(OR($A96="",$I$2=0),"",(AI96+AJ96)/$I$2)</f>
        <v/>
      </c>
      <c r="AU96" s="70">
        <f>IF($A96="","",IF(OR($AK96&gt;=2,AND($AK96&gt;0,$AQ96=""),AND($AK96&gt;0,$AR96="")),"CRITICAL",IF(OR($AK96=1,AND(($AJ96)&gt;0,$AQ96=""),AND(($AJ96)&gt;0,$AR96=""),$AT96&lt;0.95),"REVIEW","OK")))</f>
        <v/>
      </c>
    </row>
    <row r="97" ht="18" customHeight="1" s="57">
      <c r="A97" s="87">
        <f>IF('Employee Master'!A97="","",'Employee Master'!A97)</f>
        <v/>
      </c>
      <c r="B97" s="88">
        <f>IF($A97="","",'Employee Master'!B97)</f>
        <v/>
      </c>
      <c r="C97" s="87">
        <f>IF($A97="","",'Employee Master'!C97)</f>
        <v/>
      </c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  <c r="AC97" s="89" t="n"/>
      <c r="AD97" s="89" t="n"/>
      <c r="AE97" s="89" t="n"/>
      <c r="AF97" s="89" t="n"/>
      <c r="AG97" s="89" t="n"/>
      <c r="AH97" s="89" t="n"/>
      <c r="AI97" s="70">
        <f>IF($A97="","",COUNTIF($D97:$AH97,"P"))</f>
        <v/>
      </c>
      <c r="AJ97" s="70">
        <f>IF($A97="","",COUNTIF($D97:$AH97,"AA")+COUNTIF($D97:$AH97,"SA")+COUNTIF($D97:$AH97,"EA")+COUNTIF($D97:$AH97,"OR")+COUNTIF($D97:$AH97,"WO")+COUNTIF($D97:$AH97,"H"))</f>
        <v/>
      </c>
      <c r="AK97" s="70">
        <f>IF($A97="","",COUNTIF($D97:$AH97,"UA"))</f>
        <v/>
      </c>
      <c r="AL97" s="70">
        <f>IF($A97="","",COUNTIF($D97:$AH97,"SA"))</f>
        <v/>
      </c>
      <c r="AM97" s="70">
        <f>IF($A97="","",COUNTIF($D97:$AH97,"EA"))</f>
        <v/>
      </c>
      <c r="AN97" s="70">
        <f>IF($A97="","",COUNTIF($D97:$AH97,"OR"))</f>
        <v/>
      </c>
      <c r="AO97" s="70">
        <f>IF($A97="","",COUNTIF($D97:$AH97,"WO"))</f>
        <v/>
      </c>
      <c r="AP97" s="70">
        <f>IF($A97="","",COUNTIF($D97:$AH97,"H"))</f>
        <v/>
      </c>
      <c r="AQ97" s="77" t="n"/>
      <c r="AR97" s="77" t="n"/>
      <c r="AS97" s="90">
        <f>IF(OR($A97="",$I$2=0),"",AI97/$I$2)</f>
        <v/>
      </c>
      <c r="AT97" s="90">
        <f>IF(OR($A97="",$I$2=0),"",(AI97+AJ97)/$I$2)</f>
        <v/>
      </c>
      <c r="AU97" s="70">
        <f>IF($A97="","",IF(OR($AK97&gt;=2,AND($AK97&gt;0,$AQ97=""),AND($AK97&gt;0,$AR97="")),"CRITICAL",IF(OR($AK97=1,AND(($AJ97)&gt;0,$AQ97=""),AND(($AJ97)&gt;0,$AR97=""),$AT97&lt;0.95),"REVIEW","OK")))</f>
        <v/>
      </c>
    </row>
    <row r="98" ht="18" customHeight="1" s="57">
      <c r="A98" s="87">
        <f>IF('Employee Master'!A98="","",'Employee Master'!A98)</f>
        <v/>
      </c>
      <c r="B98" s="88">
        <f>IF($A98="","",'Employee Master'!B98)</f>
        <v/>
      </c>
      <c r="C98" s="87">
        <f>IF($A98="","",'Employee Master'!C98)</f>
        <v/>
      </c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  <c r="AC98" s="89" t="n"/>
      <c r="AD98" s="89" t="n"/>
      <c r="AE98" s="89" t="n"/>
      <c r="AF98" s="89" t="n"/>
      <c r="AG98" s="89" t="n"/>
      <c r="AH98" s="89" t="n"/>
      <c r="AI98" s="70">
        <f>IF($A98="","",COUNTIF($D98:$AH98,"P"))</f>
        <v/>
      </c>
      <c r="AJ98" s="70">
        <f>IF($A98="","",COUNTIF($D98:$AH98,"AA")+COUNTIF($D98:$AH98,"SA")+COUNTIF($D98:$AH98,"EA")+COUNTIF($D98:$AH98,"OR")+COUNTIF($D98:$AH98,"WO")+COUNTIF($D98:$AH98,"H"))</f>
        <v/>
      </c>
      <c r="AK98" s="70">
        <f>IF($A98="","",COUNTIF($D98:$AH98,"UA"))</f>
        <v/>
      </c>
      <c r="AL98" s="70">
        <f>IF($A98="","",COUNTIF($D98:$AH98,"SA"))</f>
        <v/>
      </c>
      <c r="AM98" s="70">
        <f>IF($A98="","",COUNTIF($D98:$AH98,"EA"))</f>
        <v/>
      </c>
      <c r="AN98" s="70">
        <f>IF($A98="","",COUNTIF($D98:$AH98,"OR"))</f>
        <v/>
      </c>
      <c r="AO98" s="70">
        <f>IF($A98="","",COUNTIF($D98:$AH98,"WO"))</f>
        <v/>
      </c>
      <c r="AP98" s="70">
        <f>IF($A98="","",COUNTIF($D98:$AH98,"H"))</f>
        <v/>
      </c>
      <c r="AQ98" s="77" t="n"/>
      <c r="AR98" s="77" t="n"/>
      <c r="AS98" s="90">
        <f>IF(OR($A98="",$I$2=0),"",AI98/$I$2)</f>
        <v/>
      </c>
      <c r="AT98" s="90">
        <f>IF(OR($A98="",$I$2=0),"",(AI98+AJ98)/$I$2)</f>
        <v/>
      </c>
      <c r="AU98" s="70">
        <f>IF($A98="","",IF(OR($AK98&gt;=2,AND($AK98&gt;0,$AQ98=""),AND($AK98&gt;0,$AR98="")),"CRITICAL",IF(OR($AK98=1,AND(($AJ98)&gt;0,$AQ98=""),AND(($AJ98)&gt;0,$AR98=""),$AT98&lt;0.95),"REVIEW","OK")))</f>
        <v/>
      </c>
    </row>
    <row r="99" ht="18" customHeight="1" s="57">
      <c r="A99" s="87">
        <f>IF('Employee Master'!A99="","",'Employee Master'!A99)</f>
        <v/>
      </c>
      <c r="B99" s="88">
        <f>IF($A99="","",'Employee Master'!B99)</f>
        <v/>
      </c>
      <c r="C99" s="87">
        <f>IF($A99="","",'Employee Master'!C99)</f>
        <v/>
      </c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  <c r="AC99" s="89" t="n"/>
      <c r="AD99" s="89" t="n"/>
      <c r="AE99" s="89" t="n"/>
      <c r="AF99" s="89" t="n"/>
      <c r="AG99" s="89" t="n"/>
      <c r="AH99" s="89" t="n"/>
      <c r="AI99" s="70">
        <f>IF($A99="","",COUNTIF($D99:$AH99,"P"))</f>
        <v/>
      </c>
      <c r="AJ99" s="70">
        <f>IF($A99="","",COUNTIF($D99:$AH99,"AA")+COUNTIF($D99:$AH99,"SA")+COUNTIF($D99:$AH99,"EA")+COUNTIF($D99:$AH99,"OR")+COUNTIF($D99:$AH99,"WO")+COUNTIF($D99:$AH99,"H"))</f>
        <v/>
      </c>
      <c r="AK99" s="70">
        <f>IF($A99="","",COUNTIF($D99:$AH99,"UA"))</f>
        <v/>
      </c>
      <c r="AL99" s="70">
        <f>IF($A99="","",COUNTIF($D99:$AH99,"SA"))</f>
        <v/>
      </c>
      <c r="AM99" s="70">
        <f>IF($A99="","",COUNTIF($D99:$AH99,"EA"))</f>
        <v/>
      </c>
      <c r="AN99" s="70">
        <f>IF($A99="","",COUNTIF($D99:$AH99,"OR"))</f>
        <v/>
      </c>
      <c r="AO99" s="70">
        <f>IF($A99="","",COUNTIF($D99:$AH99,"WO"))</f>
        <v/>
      </c>
      <c r="AP99" s="70">
        <f>IF($A99="","",COUNTIF($D99:$AH99,"H"))</f>
        <v/>
      </c>
      <c r="AQ99" s="77" t="n"/>
      <c r="AR99" s="77" t="n"/>
      <c r="AS99" s="90">
        <f>IF(OR($A99="",$I$2=0),"",AI99/$I$2)</f>
        <v/>
      </c>
      <c r="AT99" s="90">
        <f>IF(OR($A99="",$I$2=0),"",(AI99+AJ99)/$I$2)</f>
        <v/>
      </c>
      <c r="AU99" s="70">
        <f>IF($A99="","",IF(OR($AK99&gt;=2,AND($AK99&gt;0,$AQ99=""),AND($AK99&gt;0,$AR99="")),"CRITICAL",IF(OR($AK99=1,AND(($AJ99)&gt;0,$AQ99=""),AND(($AJ99)&gt;0,$AR99=""),$AT99&lt;0.95),"REVIEW","OK")))</f>
        <v/>
      </c>
    </row>
    <row r="100" ht="18" customHeight="1" s="57">
      <c r="A100" s="87">
        <f>IF('Employee Master'!A100="","",'Employee Master'!A100)</f>
        <v/>
      </c>
      <c r="B100" s="88">
        <f>IF($A100="","",'Employee Master'!B100)</f>
        <v/>
      </c>
      <c r="C100" s="87">
        <f>IF($A100="","",'Employee Master'!C100)</f>
        <v/>
      </c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  <c r="AC100" s="89" t="n"/>
      <c r="AD100" s="89" t="n"/>
      <c r="AE100" s="89" t="n"/>
      <c r="AF100" s="89" t="n"/>
      <c r="AG100" s="89" t="n"/>
      <c r="AH100" s="89" t="n"/>
      <c r="AI100" s="70">
        <f>IF($A100="","",COUNTIF($D100:$AH100,"P"))</f>
        <v/>
      </c>
      <c r="AJ100" s="70">
        <f>IF($A100="","",COUNTIF($D100:$AH100,"AA")+COUNTIF($D100:$AH100,"SA")+COUNTIF($D100:$AH100,"EA")+COUNTIF($D100:$AH100,"OR")+COUNTIF($D100:$AH100,"WO")+COUNTIF($D100:$AH100,"H"))</f>
        <v/>
      </c>
      <c r="AK100" s="70">
        <f>IF($A100="","",COUNTIF($D100:$AH100,"UA"))</f>
        <v/>
      </c>
      <c r="AL100" s="70">
        <f>IF($A100="","",COUNTIF($D100:$AH100,"SA"))</f>
        <v/>
      </c>
      <c r="AM100" s="70">
        <f>IF($A100="","",COUNTIF($D100:$AH100,"EA"))</f>
        <v/>
      </c>
      <c r="AN100" s="70">
        <f>IF($A100="","",COUNTIF($D100:$AH100,"OR"))</f>
        <v/>
      </c>
      <c r="AO100" s="70">
        <f>IF($A100="","",COUNTIF($D100:$AH100,"WO"))</f>
        <v/>
      </c>
      <c r="AP100" s="70">
        <f>IF($A100="","",COUNTIF($D100:$AH100,"H"))</f>
        <v/>
      </c>
      <c r="AQ100" s="77" t="n"/>
      <c r="AR100" s="77" t="n"/>
      <c r="AS100" s="90">
        <f>IF(OR($A100="",$I$2=0),"",AI100/$I$2)</f>
        <v/>
      </c>
      <c r="AT100" s="90">
        <f>IF(OR($A100="",$I$2=0),"",(AI100+AJ100)/$I$2)</f>
        <v/>
      </c>
      <c r="AU100" s="70">
        <f>IF($A100="","",IF(OR($AK100&gt;=2,AND($AK100&gt;0,$AQ100=""),AND($AK100&gt;0,$AR100="")),"CRITICAL",IF(OR($AK100=1,AND(($AJ100)&gt;0,$AQ100=""),AND(($AJ100)&gt;0,$AR100=""),$AT100&lt;0.95),"REVIEW","OK")))</f>
        <v/>
      </c>
    </row>
    <row r="101" ht="18" customHeight="1" s="57">
      <c r="A101" s="87">
        <f>IF('Employee Master'!A101="","",'Employee Master'!A101)</f>
        <v/>
      </c>
      <c r="B101" s="88">
        <f>IF($A101="","",'Employee Master'!B101)</f>
        <v/>
      </c>
      <c r="C101" s="87">
        <f>IF($A101="","",'Employee Master'!C101)</f>
        <v/>
      </c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  <c r="AC101" s="89" t="n"/>
      <c r="AD101" s="89" t="n"/>
      <c r="AE101" s="89" t="n"/>
      <c r="AF101" s="89" t="n"/>
      <c r="AG101" s="89" t="n"/>
      <c r="AH101" s="89" t="n"/>
      <c r="AI101" s="70">
        <f>IF($A101="","",COUNTIF($D101:$AH101,"P"))</f>
        <v/>
      </c>
      <c r="AJ101" s="70">
        <f>IF($A101="","",COUNTIF($D101:$AH101,"AA")+COUNTIF($D101:$AH101,"SA")+COUNTIF($D101:$AH101,"EA")+COUNTIF($D101:$AH101,"OR")+COUNTIF($D101:$AH101,"WO")+COUNTIF($D101:$AH101,"H"))</f>
        <v/>
      </c>
      <c r="AK101" s="70">
        <f>IF($A101="","",COUNTIF($D101:$AH101,"UA"))</f>
        <v/>
      </c>
      <c r="AL101" s="70">
        <f>IF($A101="","",COUNTIF($D101:$AH101,"SA"))</f>
        <v/>
      </c>
      <c r="AM101" s="70">
        <f>IF($A101="","",COUNTIF($D101:$AH101,"EA"))</f>
        <v/>
      </c>
      <c r="AN101" s="70">
        <f>IF($A101="","",COUNTIF($D101:$AH101,"OR"))</f>
        <v/>
      </c>
      <c r="AO101" s="70">
        <f>IF($A101="","",COUNTIF($D101:$AH101,"WO"))</f>
        <v/>
      </c>
      <c r="AP101" s="70">
        <f>IF($A101="","",COUNTIF($D101:$AH101,"H"))</f>
        <v/>
      </c>
      <c r="AQ101" s="77" t="n"/>
      <c r="AR101" s="77" t="n"/>
      <c r="AS101" s="90">
        <f>IF(OR($A101="",$I$2=0),"",AI101/$I$2)</f>
        <v/>
      </c>
      <c r="AT101" s="90">
        <f>IF(OR($A101="",$I$2=0),"",(AI101+AJ101)/$I$2)</f>
        <v/>
      </c>
      <c r="AU101" s="70">
        <f>IF($A101="","",IF(OR($AK101&gt;=2,AND($AK101&gt;0,$AQ101=""),AND($AK101&gt;0,$AR101="")),"CRITICAL",IF(OR($AK101=1,AND(($AJ101)&gt;0,$AQ101=""),AND(($AJ101)&gt;0,$AR101=""),$AT101&lt;0.95),"REVIEW","OK")))</f>
        <v/>
      </c>
    </row>
    <row r="102" ht="18" customHeight="1" s="57">
      <c r="A102" s="87">
        <f>IF('Employee Master'!A102="","",'Employee Master'!A102)</f>
        <v/>
      </c>
      <c r="B102" s="88">
        <f>IF($A102="","",'Employee Master'!B102)</f>
        <v/>
      </c>
      <c r="C102" s="87">
        <f>IF($A102="","",'Employee Master'!C102)</f>
        <v/>
      </c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  <c r="AC102" s="89" t="n"/>
      <c r="AD102" s="89" t="n"/>
      <c r="AE102" s="89" t="n"/>
      <c r="AF102" s="89" t="n"/>
      <c r="AG102" s="89" t="n"/>
      <c r="AH102" s="89" t="n"/>
      <c r="AI102" s="70">
        <f>IF($A102="","",COUNTIF($D102:$AH102,"P"))</f>
        <v/>
      </c>
      <c r="AJ102" s="70">
        <f>IF($A102="","",COUNTIF($D102:$AH102,"AA")+COUNTIF($D102:$AH102,"SA")+COUNTIF($D102:$AH102,"EA")+COUNTIF($D102:$AH102,"OR")+COUNTIF($D102:$AH102,"WO")+COUNTIF($D102:$AH102,"H"))</f>
        <v/>
      </c>
      <c r="AK102" s="70">
        <f>IF($A102="","",COUNTIF($D102:$AH102,"UA"))</f>
        <v/>
      </c>
      <c r="AL102" s="70">
        <f>IF($A102="","",COUNTIF($D102:$AH102,"SA"))</f>
        <v/>
      </c>
      <c r="AM102" s="70">
        <f>IF($A102="","",COUNTIF($D102:$AH102,"EA"))</f>
        <v/>
      </c>
      <c r="AN102" s="70">
        <f>IF($A102="","",COUNTIF($D102:$AH102,"OR"))</f>
        <v/>
      </c>
      <c r="AO102" s="70">
        <f>IF($A102="","",COUNTIF($D102:$AH102,"WO"))</f>
        <v/>
      </c>
      <c r="AP102" s="70">
        <f>IF($A102="","",COUNTIF($D102:$AH102,"H"))</f>
        <v/>
      </c>
      <c r="AQ102" s="77" t="n"/>
      <c r="AR102" s="77" t="n"/>
      <c r="AS102" s="90">
        <f>IF(OR($A102="",$I$2=0),"",AI102/$I$2)</f>
        <v/>
      </c>
      <c r="AT102" s="90">
        <f>IF(OR($A102="",$I$2=0),"",(AI102+AJ102)/$I$2)</f>
        <v/>
      </c>
      <c r="AU102" s="70">
        <f>IF($A102="","",IF(OR($AK102&gt;=2,AND($AK102&gt;0,$AQ102=""),AND($AK102&gt;0,$AR102="")),"CRITICAL",IF(OR($AK102=1,AND(($AJ102)&gt;0,$AQ102=""),AND(($AJ102)&gt;0,$AR102=""),$AT102&lt;0.95),"REVIEW","OK")))</f>
        <v/>
      </c>
    </row>
    <row r="103" ht="18" customHeight="1" s="57">
      <c r="A103" s="87">
        <f>IF('Employee Master'!A103="","",'Employee Master'!A103)</f>
        <v/>
      </c>
      <c r="B103" s="88">
        <f>IF($A103="","",'Employee Master'!B103)</f>
        <v/>
      </c>
      <c r="C103" s="87">
        <f>IF($A103="","",'Employee Master'!C103)</f>
        <v/>
      </c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  <c r="AC103" s="89" t="n"/>
      <c r="AD103" s="89" t="n"/>
      <c r="AE103" s="89" t="n"/>
      <c r="AF103" s="89" t="n"/>
      <c r="AG103" s="89" t="n"/>
      <c r="AH103" s="89" t="n"/>
      <c r="AI103" s="70">
        <f>IF($A103="","",COUNTIF($D103:$AH103,"P"))</f>
        <v/>
      </c>
      <c r="AJ103" s="70">
        <f>IF($A103="","",COUNTIF($D103:$AH103,"AA")+COUNTIF($D103:$AH103,"SA")+COUNTIF($D103:$AH103,"EA")+COUNTIF($D103:$AH103,"OR")+COUNTIF($D103:$AH103,"WO")+COUNTIF($D103:$AH103,"H"))</f>
        <v/>
      </c>
      <c r="AK103" s="70">
        <f>IF($A103="","",COUNTIF($D103:$AH103,"UA"))</f>
        <v/>
      </c>
      <c r="AL103" s="70">
        <f>IF($A103="","",COUNTIF($D103:$AH103,"SA"))</f>
        <v/>
      </c>
      <c r="AM103" s="70">
        <f>IF($A103="","",COUNTIF($D103:$AH103,"EA"))</f>
        <v/>
      </c>
      <c r="AN103" s="70">
        <f>IF($A103="","",COUNTIF($D103:$AH103,"OR"))</f>
        <v/>
      </c>
      <c r="AO103" s="70">
        <f>IF($A103="","",COUNTIF($D103:$AH103,"WO"))</f>
        <v/>
      </c>
      <c r="AP103" s="70">
        <f>IF($A103="","",COUNTIF($D103:$AH103,"H"))</f>
        <v/>
      </c>
      <c r="AQ103" s="77" t="n"/>
      <c r="AR103" s="77" t="n"/>
      <c r="AS103" s="90">
        <f>IF(OR($A103="",$I$2=0),"",AI103/$I$2)</f>
        <v/>
      </c>
      <c r="AT103" s="90">
        <f>IF(OR($A103="",$I$2=0),"",(AI103+AJ103)/$I$2)</f>
        <v/>
      </c>
      <c r="AU103" s="70">
        <f>IF($A103="","",IF(OR($AK103&gt;=2,AND($AK103&gt;0,$AQ103=""),AND($AK103&gt;0,$AR103="")),"CRITICAL",IF(OR($AK103=1,AND(($AJ103)&gt;0,$AQ103=""),AND(($AJ103)&gt;0,$AR103=""),$AT103&lt;0.95),"REVIEW","OK")))</f>
        <v/>
      </c>
    </row>
    <row r="104" ht="18" customHeight="1" s="57">
      <c r="A104" s="87">
        <f>IF('Employee Master'!A104="","",'Employee Master'!A104)</f>
        <v/>
      </c>
      <c r="B104" s="88">
        <f>IF($A104="","",'Employee Master'!B104)</f>
        <v/>
      </c>
      <c r="C104" s="87">
        <f>IF($A104="","",'Employee Master'!C104)</f>
        <v/>
      </c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  <c r="AC104" s="89" t="n"/>
      <c r="AD104" s="89" t="n"/>
      <c r="AE104" s="89" t="n"/>
      <c r="AF104" s="89" t="n"/>
      <c r="AG104" s="89" t="n"/>
      <c r="AH104" s="89" t="n"/>
      <c r="AI104" s="70">
        <f>IF($A104="","",COUNTIF($D104:$AH104,"P"))</f>
        <v/>
      </c>
      <c r="AJ104" s="70">
        <f>IF($A104="","",COUNTIF($D104:$AH104,"AA")+COUNTIF($D104:$AH104,"SA")+COUNTIF($D104:$AH104,"EA")+COUNTIF($D104:$AH104,"OR")+COUNTIF($D104:$AH104,"WO")+COUNTIF($D104:$AH104,"H"))</f>
        <v/>
      </c>
      <c r="AK104" s="70">
        <f>IF($A104="","",COUNTIF($D104:$AH104,"UA"))</f>
        <v/>
      </c>
      <c r="AL104" s="70">
        <f>IF($A104="","",COUNTIF($D104:$AH104,"SA"))</f>
        <v/>
      </c>
      <c r="AM104" s="70">
        <f>IF($A104="","",COUNTIF($D104:$AH104,"EA"))</f>
        <v/>
      </c>
      <c r="AN104" s="70">
        <f>IF($A104="","",COUNTIF($D104:$AH104,"OR"))</f>
        <v/>
      </c>
      <c r="AO104" s="70">
        <f>IF($A104="","",COUNTIF($D104:$AH104,"WO"))</f>
        <v/>
      </c>
      <c r="AP104" s="70">
        <f>IF($A104="","",COUNTIF($D104:$AH104,"H"))</f>
        <v/>
      </c>
      <c r="AQ104" s="77" t="n"/>
      <c r="AR104" s="77" t="n"/>
      <c r="AS104" s="90">
        <f>IF(OR($A104="",$I$2=0),"",AI104/$I$2)</f>
        <v/>
      </c>
      <c r="AT104" s="90">
        <f>IF(OR($A104="",$I$2=0),"",(AI104+AJ104)/$I$2)</f>
        <v/>
      </c>
      <c r="AU104" s="70">
        <f>IF($A104="","",IF(OR($AK104&gt;=2,AND($AK104&gt;0,$AQ104=""),AND($AK104&gt;0,$AR104="")),"CRITICAL",IF(OR($AK104=1,AND(($AJ104)&gt;0,$AQ104=""),AND(($AJ104)&gt;0,$AR104=""),$AT104&lt;0.95),"REVIEW","OK")))</f>
        <v/>
      </c>
    </row>
    <row r="105" ht="18" customHeight="1" s="57">
      <c r="A105" s="87">
        <f>IF('Employee Master'!A105="","",'Employee Master'!A105)</f>
        <v/>
      </c>
      <c r="B105" s="88">
        <f>IF($A105="","",'Employee Master'!B105)</f>
        <v/>
      </c>
      <c r="C105" s="87">
        <f>IF($A105="","",'Employee Master'!C105)</f>
        <v/>
      </c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  <c r="AC105" s="89" t="n"/>
      <c r="AD105" s="89" t="n"/>
      <c r="AE105" s="89" t="n"/>
      <c r="AF105" s="89" t="n"/>
      <c r="AG105" s="89" t="n"/>
      <c r="AH105" s="89" t="n"/>
      <c r="AI105" s="70">
        <f>IF($A105="","",COUNTIF($D105:$AH105,"P"))</f>
        <v/>
      </c>
      <c r="AJ105" s="70">
        <f>IF($A105="","",COUNTIF($D105:$AH105,"AA")+COUNTIF($D105:$AH105,"SA")+COUNTIF($D105:$AH105,"EA")+COUNTIF($D105:$AH105,"OR")+COUNTIF($D105:$AH105,"WO")+COUNTIF($D105:$AH105,"H"))</f>
        <v/>
      </c>
      <c r="AK105" s="70">
        <f>IF($A105="","",COUNTIF($D105:$AH105,"UA"))</f>
        <v/>
      </c>
      <c r="AL105" s="70">
        <f>IF($A105="","",COUNTIF($D105:$AH105,"SA"))</f>
        <v/>
      </c>
      <c r="AM105" s="70">
        <f>IF($A105="","",COUNTIF($D105:$AH105,"EA"))</f>
        <v/>
      </c>
      <c r="AN105" s="70">
        <f>IF($A105="","",COUNTIF($D105:$AH105,"OR"))</f>
        <v/>
      </c>
      <c r="AO105" s="70">
        <f>IF($A105="","",COUNTIF($D105:$AH105,"WO"))</f>
        <v/>
      </c>
      <c r="AP105" s="70">
        <f>IF($A105="","",COUNTIF($D105:$AH105,"H"))</f>
        <v/>
      </c>
      <c r="AQ105" s="77" t="n"/>
      <c r="AR105" s="77" t="n"/>
      <c r="AS105" s="90">
        <f>IF(OR($A105="",$I$2=0),"",AI105/$I$2)</f>
        <v/>
      </c>
      <c r="AT105" s="90">
        <f>IF(OR($A105="",$I$2=0),"",(AI105+AJ105)/$I$2)</f>
        <v/>
      </c>
      <c r="AU105" s="70">
        <f>IF($A105="","",IF(OR($AK105&gt;=2,AND($AK105&gt;0,$AQ105=""),AND($AK105&gt;0,$AR105="")),"CRITICAL",IF(OR($AK105=1,AND(($AJ105)&gt;0,$AQ105=""),AND(($AJ105)&gt;0,$AR105=""),$AT105&lt;0.95),"REVIEW","OK")))</f>
        <v/>
      </c>
    </row>
    <row r="106" ht="18" customHeight="1" s="57">
      <c r="A106" s="87">
        <f>IF('Employee Master'!A106="","",'Employee Master'!A106)</f>
        <v/>
      </c>
      <c r="B106" s="88">
        <f>IF($A106="","",'Employee Master'!B106)</f>
        <v/>
      </c>
      <c r="C106" s="87">
        <f>IF($A106="","",'Employee Master'!C106)</f>
        <v/>
      </c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70">
        <f>IF($A106="","",COUNTIF($D106:$AH106,"P"))</f>
        <v/>
      </c>
      <c r="AJ106" s="70">
        <f>IF($A106="","",COUNTIF($D106:$AH106,"AA")+COUNTIF($D106:$AH106,"SA")+COUNTIF($D106:$AH106,"EA")+COUNTIF($D106:$AH106,"OR")+COUNTIF($D106:$AH106,"WO")+COUNTIF($D106:$AH106,"H"))</f>
        <v/>
      </c>
      <c r="AK106" s="70">
        <f>IF($A106="","",COUNTIF($D106:$AH106,"UA"))</f>
        <v/>
      </c>
      <c r="AL106" s="70">
        <f>IF($A106="","",COUNTIF($D106:$AH106,"SA"))</f>
        <v/>
      </c>
      <c r="AM106" s="70">
        <f>IF($A106="","",COUNTIF($D106:$AH106,"EA"))</f>
        <v/>
      </c>
      <c r="AN106" s="70">
        <f>IF($A106="","",COUNTIF($D106:$AH106,"OR"))</f>
        <v/>
      </c>
      <c r="AO106" s="70">
        <f>IF($A106="","",COUNTIF($D106:$AH106,"WO"))</f>
        <v/>
      </c>
      <c r="AP106" s="70">
        <f>IF($A106="","",COUNTIF($D106:$AH106,"H"))</f>
        <v/>
      </c>
      <c r="AQ106" s="77" t="n"/>
      <c r="AR106" s="77" t="n"/>
      <c r="AS106" s="90">
        <f>IF(OR($A106="",$I$2=0),"",AI106/$I$2)</f>
        <v/>
      </c>
      <c r="AT106" s="90">
        <f>IF(OR($A106="",$I$2=0),"",(AI106+AJ106)/$I$2)</f>
        <v/>
      </c>
      <c r="AU106" s="70">
        <f>IF($A106="","",IF(OR($AK106&gt;=2,AND($AK106&gt;0,$AQ106=""),AND($AK106&gt;0,$AR106="")),"CRITICAL",IF(OR($AK106=1,AND(($AJ106)&gt;0,$AQ106=""),AND(($AJ106)&gt;0,$AR106=""),$AT106&lt;0.95),"REVIEW","OK")))</f>
        <v/>
      </c>
    </row>
    <row r="107" ht="18" customHeight="1" s="57">
      <c r="A107" s="87">
        <f>IF('Employee Master'!A107="","",'Employee Master'!A107)</f>
        <v/>
      </c>
      <c r="B107" s="88">
        <f>IF($A107="","",'Employee Master'!B107)</f>
        <v/>
      </c>
      <c r="C107" s="87">
        <f>IF($A107="","",'Employee Master'!C107)</f>
        <v/>
      </c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  <c r="AC107" s="89" t="n"/>
      <c r="AD107" s="89" t="n"/>
      <c r="AE107" s="89" t="n"/>
      <c r="AF107" s="89" t="n"/>
      <c r="AG107" s="89" t="n"/>
      <c r="AH107" s="89" t="n"/>
      <c r="AI107" s="70">
        <f>IF($A107="","",COUNTIF($D107:$AH107,"P"))</f>
        <v/>
      </c>
      <c r="AJ107" s="70">
        <f>IF($A107="","",COUNTIF($D107:$AH107,"AA")+COUNTIF($D107:$AH107,"SA")+COUNTIF($D107:$AH107,"EA")+COUNTIF($D107:$AH107,"OR")+COUNTIF($D107:$AH107,"WO")+COUNTIF($D107:$AH107,"H"))</f>
        <v/>
      </c>
      <c r="AK107" s="70">
        <f>IF($A107="","",COUNTIF($D107:$AH107,"UA"))</f>
        <v/>
      </c>
      <c r="AL107" s="70">
        <f>IF($A107="","",COUNTIF($D107:$AH107,"SA"))</f>
        <v/>
      </c>
      <c r="AM107" s="70">
        <f>IF($A107="","",COUNTIF($D107:$AH107,"EA"))</f>
        <v/>
      </c>
      <c r="AN107" s="70">
        <f>IF($A107="","",COUNTIF($D107:$AH107,"OR"))</f>
        <v/>
      </c>
      <c r="AO107" s="70">
        <f>IF($A107="","",COUNTIF($D107:$AH107,"WO"))</f>
        <v/>
      </c>
      <c r="AP107" s="70">
        <f>IF($A107="","",COUNTIF($D107:$AH107,"H"))</f>
        <v/>
      </c>
      <c r="AQ107" s="77" t="n"/>
      <c r="AR107" s="77" t="n"/>
      <c r="AS107" s="90">
        <f>IF(OR($A107="",$I$2=0),"",AI107/$I$2)</f>
        <v/>
      </c>
      <c r="AT107" s="90">
        <f>IF(OR($A107="",$I$2=0),"",(AI107+AJ107)/$I$2)</f>
        <v/>
      </c>
      <c r="AU107" s="70">
        <f>IF($A107="","",IF(OR($AK107&gt;=2,AND($AK107&gt;0,$AQ107=""),AND($AK107&gt;0,$AR107="")),"CRITICAL",IF(OR($AK107=1,AND(($AJ107)&gt;0,$AQ107=""),AND(($AJ107)&gt;0,$AR107=""),$AT107&lt;0.95),"REVIEW","OK")))</f>
        <v/>
      </c>
    </row>
  </sheetData>
  <mergeCells count="5">
    <mergeCell ref="A5:C5"/>
    <mergeCell ref="AI5:AU5"/>
    <mergeCell ref="D5:AH5"/>
    <mergeCell ref="A1:AU1"/>
    <mergeCell ref="A3:AU3"/>
  </mergeCells>
  <conditionalFormatting sqref="D7:AH107">
    <cfRule type="expression" rank="0" priority="2" equalAverage="0" aboveAverage="0" dxfId="0" text="" percent="0" bottom="0">
      <formula>D7="WO"</formula>
    </cfRule>
    <cfRule type="expression" rank="0" priority="3" equalAverage="0" aboveAverage="0" dxfId="0" text="" percent="0" bottom="0">
      <formula>D7="H"</formula>
    </cfRule>
  </conditionalFormatting>
  <conditionalFormatting sqref="D8:AH107">
    <cfRule type="expression" rank="0" priority="4" equalAverage="0" aboveAverage="0" dxfId="0" text="" percent="0" bottom="0">
      <formula>D8="P"</formula>
    </cfRule>
    <cfRule type="expression" rank="0" priority="5" equalAverage="0" aboveAverage="0" dxfId="0" text="" percent="0" bottom="0">
      <formula>D8="AA"</formula>
    </cfRule>
    <cfRule type="expression" rank="0" priority="6" equalAverage="0" aboveAverage="0" dxfId="0" text="" percent="0" bottom="0">
      <formula>D8="UA"</formula>
    </cfRule>
    <cfRule type="expression" rank="0" priority="7" equalAverage="0" aboveAverage="0" dxfId="0" text="" percent="0" bottom="0">
      <formula>D8="SA"</formula>
    </cfRule>
    <cfRule type="expression" rank="0" priority="8" equalAverage="0" aboveAverage="0" dxfId="0" text="" percent="0" bottom="0">
      <formula>D8="EA"</formula>
    </cfRule>
    <cfRule type="expression" rank="0" priority="9" equalAverage="0" aboveAverage="0" dxfId="0" text="" percent="0" bottom="0">
      <formula>D8="OR"</formula>
    </cfRule>
  </conditionalFormatting>
  <conditionalFormatting sqref="AU8:AU107">
    <cfRule type="expression" rank="0" priority="10" equalAverage="0" aboveAverage="0" dxfId="0" text="" percent="0" bottom="0">
      <formula>AU8="CRITICAL"</formula>
    </cfRule>
    <cfRule type="expression" rank="0" priority="11" equalAverage="0" aboveAverage="0" dxfId="0" text="" percent="0" bottom="0">
      <formula>AU8="REVIEW"</formula>
    </cfRule>
    <cfRule type="expression" rank="0" priority="12" equalAverage="0" aboveAverage="0" dxfId="0" text="" percent="0" bottom="0">
      <formula>AU8="OK"</formula>
    </cfRule>
  </conditionalFormatting>
  <dataValidations count="1">
    <dataValidation sqref="D8:AH107" showDropDown="0" showInputMessage="0" showErrorMessage="0" allowBlank="1" type="list" operator="between">
      <formula1>"P,AA,UA,SA,EA,OR,WO,H"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P1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3" activePane="bottomRight" state="frozen"/>
      <selection pane="topLeft" activeCell="A1" activeCellId="0" sqref="A1"/>
      <selection pane="topRight" activeCell="B1" activeCellId="0" sqref="B1"/>
      <selection pane="bottomLeft" activeCell="A33" activeCellId="0" sqref="A33"/>
      <selection pane="bottomRight" activeCell="B10" activeCellId="0" sqref="B10"/>
    </sheetView>
  </sheetViews>
  <sheetFormatPr baseColWidth="8" defaultRowHeight="14.45" zeroHeight="0" outlineLevelRow="0"/>
  <cols>
    <col width="24.87" customWidth="1" style="56" min="1" max="1"/>
    <col width="27.99" customWidth="1" style="56" min="2" max="2"/>
    <col width="15" customWidth="1" style="78" min="3" max="3"/>
    <col width="15" customWidth="1" style="56" min="4" max="4"/>
    <col width="11.99" customWidth="1" style="56" min="5" max="5"/>
    <col width="13.7" customWidth="1" style="56" min="6" max="6"/>
    <col width="13.02" customWidth="1" style="56" min="7" max="7"/>
    <col width="11.99" customWidth="1" style="56" min="8" max="10"/>
    <col width="10.99" customWidth="1" style="56" min="11" max="12"/>
    <col width="11.71" customWidth="1" style="56" min="13" max="13"/>
    <col width="10.99" customWidth="1" style="56" min="14" max="15"/>
    <col width="13.02" customWidth="1" style="56" min="16" max="16"/>
    <col width="8.67" customWidth="1" style="56" min="17" max="1025"/>
  </cols>
  <sheetData>
    <row r="1" ht="39.6" customHeight="1" s="57">
      <c r="A1" s="58" t="inlineStr">
        <is>
          <t>Annual Attendance KPI Live Tracker</t>
        </is>
      </c>
    </row>
    <row r="2" ht="12" customHeight="1" s="57"/>
    <row r="3" ht="21" customHeight="1" s="57">
      <c r="A3" s="91" t="inlineStr">
        <is>
          <t>Year</t>
        </is>
      </c>
      <c r="B3" s="70">
        <f>'Control Panel'!B3</f>
        <v/>
      </c>
      <c r="D3" s="59" t="inlineStr">
        <is>
          <t>Forensic logic</t>
        </is>
      </c>
    </row>
    <row r="4" ht="27" customHeight="1" s="57">
      <c r="A4" s="91" t="inlineStr">
        <is>
          <t>Active Employees</t>
        </is>
      </c>
      <c r="B4" s="70">
        <f>COUNTIFS('Employee Master'!A8:A107,"?*",'Employee Master'!D8:D107,"Active")</f>
        <v/>
      </c>
      <c r="D4" s="64" t="inlineStr">
        <is>
          <t>CRITICAL = 2+ UA in a month, or any UA posted without reason and remarks.
REVIEW = 1 UA, any approved absence without audit notes, or compliance below 95%.
OK = no exception triggered.</t>
        </is>
      </c>
      <c r="E4" s="92" t="n"/>
      <c r="F4" s="92" t="n"/>
      <c r="G4" s="92" t="n"/>
      <c r="H4" s="93" t="n"/>
    </row>
    <row r="5" ht="18" customHeight="1" s="57">
      <c r="A5" s="91" t="inlineStr">
        <is>
          <t>Annual Calendar Work Days</t>
        </is>
      </c>
      <c r="B5" s="70">
        <f>SUM(B19:B30)</f>
        <v/>
      </c>
      <c r="D5" s="94" t="n"/>
      <c r="H5" s="95" t="n"/>
    </row>
    <row r="6" ht="27" customHeight="1" s="57">
      <c r="A6" s="91" t="inlineStr">
        <is>
          <t>Scheduled Attendance Days</t>
        </is>
      </c>
      <c r="B6" s="70">
        <f>B4*B5</f>
        <v/>
      </c>
      <c r="D6" s="96" t="n"/>
      <c r="E6" s="97" t="n"/>
      <c r="F6" s="97" t="n"/>
      <c r="G6" s="97" t="n"/>
      <c r="H6" s="98" t="n"/>
    </row>
    <row r="7" ht="16.15" customHeight="1" s="57">
      <c r="A7" s="91" t="inlineStr">
        <is>
          <t>Total Present Days</t>
        </is>
      </c>
      <c r="B7" s="81">
        <f>SUM(E19:E30)</f>
        <v/>
      </c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</row>
    <row r="8" ht="18.6" customHeight="1" s="57">
      <c r="A8" s="91" t="inlineStr">
        <is>
          <t>Total Authorised Days</t>
        </is>
      </c>
      <c r="B8" s="70">
        <f>SUM(F19:F30)</f>
        <v/>
      </c>
      <c r="C8" s="70" t="n"/>
      <c r="D8" s="70" t="n"/>
      <c r="E8" s="70" t="n"/>
      <c r="F8" s="70" t="n"/>
      <c r="G8" s="70" t="n"/>
      <c r="H8" s="70" t="n"/>
      <c r="I8" s="70" t="n"/>
      <c r="J8" s="70" t="n"/>
      <c r="K8" s="90" t="n"/>
      <c r="L8" s="90" t="n"/>
      <c r="M8" s="70" t="n"/>
    </row>
    <row r="9" ht="17.45" customHeight="1" s="57">
      <c r="A9" s="91" t="inlineStr">
        <is>
          <t>Total Unauthorised Days</t>
        </is>
      </c>
      <c r="B9" s="70">
        <f>SUM(G19:G30)</f>
        <v/>
      </c>
      <c r="C9" s="70" t="n"/>
      <c r="D9" s="70" t="n"/>
      <c r="E9" s="70" t="n"/>
      <c r="F9" s="70" t="n"/>
      <c r="G9" s="70" t="n"/>
      <c r="H9" s="70" t="n"/>
      <c r="I9" s="70" t="n"/>
      <c r="J9" s="70" t="n"/>
      <c r="K9" s="90" t="n"/>
      <c r="L9" s="90" t="n"/>
      <c r="M9" s="70" t="n"/>
    </row>
    <row r="10" ht="25.9" customHeight="1" s="57">
      <c r="A10" s="91" t="inlineStr">
        <is>
          <t>Total Sick Absence Days</t>
        </is>
      </c>
      <c r="B10" s="70">
        <f>SUM(H19:H30)</f>
        <v/>
      </c>
      <c r="C10" s="70" t="n"/>
      <c r="D10" s="70" t="n"/>
      <c r="E10" s="70" t="n"/>
      <c r="F10" s="70" t="n"/>
      <c r="G10" s="70" t="n"/>
      <c r="H10" s="70" t="n"/>
      <c r="I10" s="70" t="n"/>
      <c r="J10" s="70" t="n"/>
      <c r="K10" s="90" t="n"/>
      <c r="L10" s="90" t="n"/>
      <c r="M10" s="70" t="n"/>
    </row>
    <row r="11" ht="25.9" customHeight="1" s="57">
      <c r="A11" s="91" t="inlineStr">
        <is>
          <t>Total Emergency Absence Days</t>
        </is>
      </c>
      <c r="B11" s="70">
        <f>SUM(I19:I30)</f>
        <v/>
      </c>
      <c r="C11" s="70" t="n"/>
      <c r="D11" s="70" t="n"/>
      <c r="E11" s="70" t="n"/>
      <c r="F11" s="70" t="n"/>
      <c r="G11" s="70" t="n"/>
      <c r="H11" s="70" t="n"/>
      <c r="I11" s="70" t="n"/>
      <c r="J11" s="70" t="n"/>
      <c r="K11" s="90" t="n"/>
      <c r="L11" s="90" t="n"/>
      <c r="M11" s="70" t="n"/>
    </row>
    <row r="12" ht="18" customHeight="1" s="57">
      <c r="A12" s="91" t="inlineStr">
        <is>
          <t>Total Other Reason Days</t>
        </is>
      </c>
      <c r="B12" s="70">
        <f>SUM(J19:J30)</f>
        <v/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90" t="n"/>
      <c r="L12" s="90" t="n"/>
      <c r="M12" s="70" t="n"/>
    </row>
    <row r="13" ht="18" customHeight="1" s="57">
      <c r="A13" s="91" t="inlineStr">
        <is>
          <t>Attendance Rate</t>
        </is>
      </c>
      <c r="B13" s="90">
        <f>IF(B6=0,0,B7/B6)</f>
        <v/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90" t="n"/>
      <c r="L13" s="90" t="n"/>
      <c r="M13" s="70" t="n"/>
    </row>
    <row r="14" ht="18" customHeight="1" s="57">
      <c r="A14" s="91" t="inlineStr">
        <is>
          <t>Compliance Rate</t>
        </is>
      </c>
      <c r="B14" s="90">
        <f>IF(B6=0,0,(B7+B8)/B6)</f>
        <v/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90" t="n"/>
      <c r="L14" s="90" t="n"/>
      <c r="M14" s="70" t="n"/>
    </row>
    <row r="15" ht="18" customHeight="1" s="57">
      <c r="A15" s="91" t="inlineStr">
        <is>
          <t>At-Risk Staff</t>
        </is>
      </c>
      <c r="B15" s="70">
        <f>COUNTIF(O35:O134,"&gt;0")</f>
        <v/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90" t="n"/>
      <c r="L15" s="90" t="n"/>
      <c r="M15" s="70" t="n"/>
    </row>
    <row r="16" ht="13.15" customHeight="1" s="57">
      <c r="A16" s="63" t="n"/>
      <c r="B16" s="70" t="n"/>
      <c r="C16" s="70" t="n"/>
      <c r="D16" s="70" t="n"/>
      <c r="E16" s="70" t="n"/>
      <c r="F16" s="70" t="n"/>
      <c r="G16" s="70" t="n"/>
      <c r="H16" s="70" t="n"/>
      <c r="I16" s="70" t="n"/>
      <c r="J16" s="70" t="n"/>
      <c r="K16" s="90" t="n"/>
      <c r="L16" s="90" t="n"/>
      <c r="M16" s="70" t="n"/>
    </row>
    <row r="17" ht="13.9" customHeight="1" s="57">
      <c r="A17" s="63" t="n"/>
      <c r="B17" s="70" t="n"/>
      <c r="C17" s="70" t="n"/>
      <c r="D17" s="70" t="n"/>
      <c r="E17" s="70" t="n"/>
      <c r="F17" s="70" t="n"/>
      <c r="G17" s="70" t="n"/>
      <c r="H17" s="70" t="n"/>
      <c r="I17" s="70" t="n"/>
      <c r="J17" s="70" t="n"/>
      <c r="K17" s="90" t="n"/>
      <c r="L17" s="90" t="n"/>
      <c r="M17" s="70" t="n"/>
    </row>
    <row r="18" ht="34.15" customHeight="1" s="57">
      <c r="A18" s="79" t="inlineStr">
        <is>
          <t>Month</t>
        </is>
      </c>
      <c r="B18" s="79" t="inlineStr">
        <is>
          <t>Working Days</t>
        </is>
      </c>
      <c r="C18" s="79" t="inlineStr">
        <is>
          <t>Active Employees</t>
        </is>
      </c>
      <c r="D18" s="79" t="inlineStr">
        <is>
          <t>Scheduled Days</t>
        </is>
      </c>
      <c r="E18" s="79" t="inlineStr">
        <is>
          <t>Present</t>
        </is>
      </c>
      <c r="F18" s="79" t="inlineStr">
        <is>
          <t>Authorised</t>
        </is>
      </c>
      <c r="G18" s="79" t="inlineStr">
        <is>
          <t>Unauthorised</t>
        </is>
      </c>
      <c r="H18" s="79" t="inlineStr">
        <is>
          <t>Sick Absence</t>
        </is>
      </c>
      <c r="I18" s="79" t="inlineStr">
        <is>
          <t>Emergency</t>
        </is>
      </c>
      <c r="J18" s="79" t="inlineStr">
        <is>
          <t>Other Reason</t>
        </is>
      </c>
      <c r="K18" s="99" t="inlineStr">
        <is>
          <t>Attendance %</t>
        </is>
      </c>
      <c r="L18" s="99" t="inlineStr">
        <is>
          <t>Compliance %</t>
        </is>
      </c>
      <c r="M18" s="79" t="inlineStr">
        <is>
          <t>At-Risk Staff</t>
        </is>
      </c>
    </row>
    <row r="19" ht="18" customHeight="1" s="57">
      <c r="A19" s="63" t="inlineStr">
        <is>
          <t>January</t>
        </is>
      </c>
      <c r="B19" s="70">
        <f>Jan!$I$2</f>
        <v/>
      </c>
      <c r="C19" s="70">
        <f>Jan!$L$2</f>
        <v/>
      </c>
      <c r="D19" s="70">
        <f>B19*C19</f>
        <v/>
      </c>
      <c r="E19" s="70">
        <f>SUM(Jan!AI8:AI107)</f>
        <v/>
      </c>
      <c r="F19" s="70">
        <f>SUM(Jan!AJ8:AJ107)</f>
        <v/>
      </c>
      <c r="G19" s="70">
        <f>SUM(Jan!AK8:AK107)</f>
        <v/>
      </c>
      <c r="H19" s="70">
        <f>SUM(Jan!AL8:AL107)</f>
        <v/>
      </c>
      <c r="I19" s="70">
        <f>SUM(Jan!AM8:AM107)</f>
        <v/>
      </c>
      <c r="J19" s="70">
        <f>SUM(Jan!AN8:AN107)</f>
        <v/>
      </c>
      <c r="K19" s="90">
        <f>IF(D19=0,0,E19/D19)</f>
        <v/>
      </c>
      <c r="L19" s="90">
        <f>IF(D19=0,0,(E19+F19)/D19)</f>
        <v/>
      </c>
      <c r="M19" s="70" t="n"/>
    </row>
    <row r="20" ht="18" customHeight="1" s="57">
      <c r="A20" s="63" t="inlineStr">
        <is>
          <t>February</t>
        </is>
      </c>
      <c r="B20" s="70" t="n">
        <v>28</v>
      </c>
      <c r="C20" s="70">
        <f>Feb!$L$2</f>
        <v/>
      </c>
      <c r="D20" s="70">
        <f>B20*C20</f>
        <v/>
      </c>
      <c r="E20" s="70">
        <f>SUM(Feb!AI8:AI107)</f>
        <v/>
      </c>
      <c r="F20" s="70">
        <f>SUM(Feb!AJ8:AJ107)</f>
        <v/>
      </c>
      <c r="G20" s="70">
        <f>SUM(Feb!AK8:AK107)</f>
        <v/>
      </c>
      <c r="H20" s="70">
        <f>SUM(Feb!AL8:AL107)</f>
        <v/>
      </c>
      <c r="I20" s="70">
        <f>SUM(Feb!AM8:AM107)</f>
        <v/>
      </c>
      <c r="J20" s="70">
        <f>SUM(Feb!AN8:AN107)</f>
        <v/>
      </c>
      <c r="K20" s="90">
        <f>IF(D20=0,0,E20/D20)</f>
        <v/>
      </c>
      <c r="L20" s="90">
        <f>IF(D20=0,0,(E20+F20)/D20)</f>
        <v/>
      </c>
      <c r="M20" s="70" t="n"/>
    </row>
    <row r="21" ht="18" customHeight="1" s="57">
      <c r="A21" s="63" t="inlineStr">
        <is>
          <t>March</t>
        </is>
      </c>
      <c r="B21" s="70">
        <f>Mar!$I$2</f>
        <v/>
      </c>
      <c r="C21" s="70">
        <f>Mar!$L$2</f>
        <v/>
      </c>
      <c r="D21" s="70">
        <f>B21*C21</f>
        <v/>
      </c>
      <c r="E21" s="70">
        <f>SUM(Mar!AI8:AI107)</f>
        <v/>
      </c>
      <c r="F21" s="70">
        <f>SUM(Mar!AJ8:AJ107)</f>
        <v/>
      </c>
      <c r="G21" s="70">
        <f>SUM(Mar!AK8:AK107)</f>
        <v/>
      </c>
      <c r="H21" s="70">
        <f>SUM(Mar!AL8:AL107)</f>
        <v/>
      </c>
      <c r="I21" s="70">
        <f>SUM(Mar!AM8:AM107)</f>
        <v/>
      </c>
      <c r="J21" s="70">
        <f>SUM(Mar!AN8:AN107)</f>
        <v/>
      </c>
      <c r="K21" s="90">
        <f>IF(D21=0,0,E21/D21)</f>
        <v/>
      </c>
      <c r="L21" s="90">
        <f>IF(D21=0,0,(E21+F21)/D21)</f>
        <v/>
      </c>
      <c r="M21" s="70" t="n"/>
    </row>
    <row r="22" ht="18" customHeight="1" s="57">
      <c r="A22" s="63" t="inlineStr">
        <is>
          <t>April</t>
        </is>
      </c>
      <c r="B22" s="70" t="n">
        <v>30</v>
      </c>
      <c r="C22" s="70">
        <f>Apr!$L$2</f>
        <v/>
      </c>
      <c r="D22" s="70">
        <f>B22*C22</f>
        <v/>
      </c>
      <c r="E22" s="70">
        <f>SUM(Apr!AI8:AI107)</f>
        <v/>
      </c>
      <c r="F22" s="70">
        <f>SUM(Apr!AJ8:AJ107)</f>
        <v/>
      </c>
      <c r="G22" s="70">
        <f>SUM(Apr!AK8:AK107)</f>
        <v/>
      </c>
      <c r="H22" s="70">
        <f>SUM(Apr!AL8:AL107)</f>
        <v/>
      </c>
      <c r="I22" s="70">
        <f>SUM(Apr!AM8:AM107)</f>
        <v/>
      </c>
      <c r="J22" s="70">
        <f>SUM(Apr!AN8:AN107)</f>
        <v/>
      </c>
      <c r="K22" s="90">
        <f>IF(D22=0,0,E22/D22)</f>
        <v/>
      </c>
      <c r="L22" s="90">
        <f>IF(D22=0,0,(E22+F22)/D22)</f>
        <v/>
      </c>
      <c r="M22" s="70" t="n"/>
    </row>
    <row r="23" ht="18" customHeight="1" s="57">
      <c r="A23" s="63" t="inlineStr">
        <is>
          <t>May</t>
        </is>
      </c>
      <c r="B23" s="70">
        <f>May!$I$2</f>
        <v/>
      </c>
      <c r="C23" s="70">
        <f>May!$L$2</f>
        <v/>
      </c>
      <c r="D23" s="70">
        <f>B23*C23</f>
        <v/>
      </c>
      <c r="E23" s="70">
        <f>SUM(May!AI8:AI107)</f>
        <v/>
      </c>
      <c r="F23" s="70">
        <f>SUM(May!AJ8:AJ107)</f>
        <v/>
      </c>
      <c r="G23" s="70">
        <f>SUM(May!AK8:AK107)</f>
        <v/>
      </c>
      <c r="H23" s="70">
        <f>SUM(May!AL8:AL107)</f>
        <v/>
      </c>
      <c r="I23" s="70">
        <f>SUM(May!AM8:AM107)</f>
        <v/>
      </c>
      <c r="J23" s="70">
        <f>SUM(May!AN8:AN107)</f>
        <v/>
      </c>
      <c r="K23" s="90">
        <f>IF(D23=0,0,E23/D23)</f>
        <v/>
      </c>
      <c r="L23" s="90">
        <f>IF(D23=0,0,(E23+F23)/D23)</f>
        <v/>
      </c>
      <c r="M23" s="70" t="n"/>
    </row>
    <row r="24" ht="18" customHeight="1" s="57">
      <c r="A24" s="63" t="inlineStr">
        <is>
          <t>June</t>
        </is>
      </c>
      <c r="B24" s="70" t="n">
        <v>30</v>
      </c>
      <c r="C24" s="70">
        <f>Jun!$L$2</f>
        <v/>
      </c>
      <c r="D24" s="70">
        <f>B24*C24</f>
        <v/>
      </c>
      <c r="E24" s="70">
        <f>SUM(Jun!AI8:AI107)</f>
        <v/>
      </c>
      <c r="F24" s="70">
        <f>SUM(Jun!AJ8:AJ107)</f>
        <v/>
      </c>
      <c r="G24" s="70">
        <f>SUM(Jun!AK8:AK107)</f>
        <v/>
      </c>
      <c r="H24" s="70">
        <f>SUM(Jun!AL8:AL107)</f>
        <v/>
      </c>
      <c r="I24" s="70">
        <f>SUM(Jun!AM8:AM107)</f>
        <v/>
      </c>
      <c r="J24" s="70">
        <f>SUM(Jun!AN8:AN107)</f>
        <v/>
      </c>
      <c r="K24" s="90">
        <f>IF(D24=0,0,E24/D24)</f>
        <v/>
      </c>
      <c r="L24" s="90">
        <f>IF(D24=0,0,(E24+F24)/D24)</f>
        <v/>
      </c>
      <c r="M24" s="70" t="n"/>
    </row>
    <row r="25" ht="18" customFormat="1" customHeight="1" s="100">
      <c r="A25" s="82" t="inlineStr">
        <is>
          <t>July</t>
        </is>
      </c>
      <c r="B25" s="81">
        <f>Jul!$I$2</f>
        <v/>
      </c>
      <c r="C25" s="81">
        <f>Jul!$L$2</f>
        <v/>
      </c>
      <c r="D25" s="81">
        <f>B25*C25</f>
        <v/>
      </c>
      <c r="E25" s="81">
        <f>SUM(Jul!AI8:AI107)</f>
        <v/>
      </c>
      <c r="F25" s="81">
        <f>SUM(Jul!AJ8:AJ107)</f>
        <v/>
      </c>
      <c r="G25" s="81">
        <f>SUM(Jul!AK8:AK107)</f>
        <v/>
      </c>
      <c r="H25" s="81">
        <f>SUM(Jul!AL8:AL107)</f>
        <v/>
      </c>
      <c r="I25" s="81">
        <f>SUM(Jul!AM8:AM107)</f>
        <v/>
      </c>
      <c r="J25" s="81">
        <f>SUM(Jul!AN8:AN107)</f>
        <v/>
      </c>
      <c r="K25" s="101">
        <f>IF(D25=0,0,E25/D25)</f>
        <v/>
      </c>
      <c r="L25" s="101">
        <f>IF(D25=0,0,(E25+F25)/D25)</f>
        <v/>
      </c>
      <c r="M25" s="81" t="n"/>
    </row>
    <row r="26" ht="21.6" customFormat="1" customHeight="1" s="100">
      <c r="A26" s="82" t="inlineStr">
        <is>
          <t>August</t>
        </is>
      </c>
      <c r="B26" s="81">
        <f>Aug!$I$2</f>
        <v/>
      </c>
      <c r="C26" s="81">
        <f>Aug!$L$2</f>
        <v/>
      </c>
      <c r="D26" s="81">
        <f>B26*C26</f>
        <v/>
      </c>
      <c r="E26" s="81">
        <f>SUM(Aug!AI8:AI107)</f>
        <v/>
      </c>
      <c r="F26" s="81">
        <f>SUM(Aug!AJ8:AJ107)</f>
        <v/>
      </c>
      <c r="G26" s="81">
        <f>SUM(Aug!AK8:AK107)</f>
        <v/>
      </c>
      <c r="H26" s="81">
        <f>SUM(Aug!AL8:AL107)</f>
        <v/>
      </c>
      <c r="I26" s="81">
        <f>SUM(Aug!AM8:AM107)</f>
        <v/>
      </c>
      <c r="J26" s="81">
        <f>SUM(Aug!AN8:AN107)</f>
        <v/>
      </c>
      <c r="K26" s="101">
        <f>IF(D26=0,0,E26/D26)</f>
        <v/>
      </c>
      <c r="L26" s="101">
        <f>IF(D26=0,0,(E26+F26)/D26)</f>
        <v/>
      </c>
      <c r="M26" s="81" t="n"/>
      <c r="N26" s="101" t="n"/>
      <c r="O26" s="81" t="n"/>
      <c r="P26" s="81" t="n"/>
    </row>
    <row r="27" ht="18" customHeight="1" s="57">
      <c r="A27" s="63" t="inlineStr">
        <is>
          <t>September</t>
        </is>
      </c>
      <c r="B27" s="70" t="n">
        <v>30</v>
      </c>
      <c r="C27" s="70">
        <f>Sep!$L$2</f>
        <v/>
      </c>
      <c r="D27" s="70">
        <f>B27*C27</f>
        <v/>
      </c>
      <c r="E27" s="70">
        <f>SUM(Sep!AI8:AI107)</f>
        <v/>
      </c>
      <c r="F27" s="70">
        <f>SUM(Sep!AJ8:AJ107)</f>
        <v/>
      </c>
      <c r="G27" s="70">
        <f>SUM(Sep!AK8:AK107)</f>
        <v/>
      </c>
      <c r="H27" s="70">
        <f>SUM(Sep!AL8:AL107)</f>
        <v/>
      </c>
      <c r="I27" s="70">
        <f>SUM(Sep!AM8:AM107)</f>
        <v/>
      </c>
      <c r="J27" s="70">
        <f>SUM(Sep!AN8:AN107)</f>
        <v/>
      </c>
      <c r="K27" s="90">
        <f>IF(D27=0,0,E27/D27)</f>
        <v/>
      </c>
      <c r="L27" s="90">
        <f>IF(D27=0,0,(E27+F27)/D27)</f>
        <v/>
      </c>
      <c r="M27" s="81" t="n"/>
      <c r="N27" s="90" t="n"/>
      <c r="O27" s="70" t="n"/>
      <c r="P27" s="70" t="n"/>
    </row>
    <row r="28" ht="18" customHeight="1" s="57">
      <c r="A28" s="63" t="inlineStr">
        <is>
          <t>October</t>
        </is>
      </c>
      <c r="B28" s="70">
        <f>Oct!$I$2</f>
        <v/>
      </c>
      <c r="C28" s="70">
        <f>Oct!$L$2</f>
        <v/>
      </c>
      <c r="D28" s="70">
        <f>B28*C28</f>
        <v/>
      </c>
      <c r="E28" s="70">
        <f>SUM(Oct!AI8:AI107)</f>
        <v/>
      </c>
      <c r="F28" s="70">
        <f>SUM(Oct!AJ8:AJ107)</f>
        <v/>
      </c>
      <c r="G28" s="70">
        <f>SUM(Oct!AK8:AK107)</f>
        <v/>
      </c>
      <c r="H28" s="70">
        <f>SUM(Oct!AL8:AL107)</f>
        <v/>
      </c>
      <c r="I28" s="70">
        <f>SUM(Oct!AM8:AM107)</f>
        <v/>
      </c>
      <c r="J28" s="70">
        <f>SUM(Oct!AN8:AN107)</f>
        <v/>
      </c>
      <c r="K28" s="90">
        <f>IF(D28=0,0,E28/D28)</f>
        <v/>
      </c>
      <c r="L28" s="90">
        <f>IF(D28=0,0,(E28+F28)/D28)</f>
        <v/>
      </c>
      <c r="M28" s="81" t="n"/>
      <c r="N28" s="90" t="n"/>
      <c r="O28" s="70" t="n"/>
      <c r="P28" s="70" t="n"/>
    </row>
    <row r="29" ht="18" customHeight="1" s="57">
      <c r="A29" s="63" t="inlineStr">
        <is>
          <t>November</t>
        </is>
      </c>
      <c r="B29" s="70" t="n">
        <v>30</v>
      </c>
      <c r="C29" s="70">
        <f>Nov!$L$2</f>
        <v/>
      </c>
      <c r="D29" s="70">
        <f>B29*C29</f>
        <v/>
      </c>
      <c r="E29" s="70">
        <f>SUM(Nov!AI8:AI107)</f>
        <v/>
      </c>
      <c r="F29" s="70">
        <f>SUM(Nov!AJ8:AJ107)</f>
        <v/>
      </c>
      <c r="G29" s="70">
        <f>SUM(Nov!AK8:AK107)</f>
        <v/>
      </c>
      <c r="H29" s="70">
        <f>SUM(Nov!AL8:AL107)</f>
        <v/>
      </c>
      <c r="I29" s="70">
        <f>SUM(Nov!AM8:AM107)</f>
        <v/>
      </c>
      <c r="J29" s="70">
        <f>SUM(Nov!AN8:AN107)</f>
        <v/>
      </c>
      <c r="K29" s="90">
        <f>IF(D29=0,0,E29/D29)</f>
        <v/>
      </c>
      <c r="L29" s="90">
        <f>IF(D29=0,0,(E29+F29)/D29)</f>
        <v/>
      </c>
      <c r="M29" s="81" t="n"/>
      <c r="N29" s="90" t="n"/>
      <c r="O29" s="70" t="n"/>
      <c r="P29" s="70" t="n"/>
    </row>
    <row r="30" ht="18" customHeight="1" s="57">
      <c r="A30" s="63" t="inlineStr">
        <is>
          <t>December</t>
        </is>
      </c>
      <c r="B30" s="70">
        <f>Dec!$I$2</f>
        <v/>
      </c>
      <c r="C30" s="70">
        <f>Dec!$L$2</f>
        <v/>
      </c>
      <c r="D30" s="70">
        <f>B30*C30</f>
        <v/>
      </c>
      <c r="E30" s="70">
        <f>SUM(Dec!AI8:AI107)</f>
        <v/>
      </c>
      <c r="F30" s="70">
        <f>SUM(Dec!AJ8:AJ107)</f>
        <v/>
      </c>
      <c r="G30" s="70">
        <f>SUM(Dec!AK8:AK107)</f>
        <v/>
      </c>
      <c r="H30" s="70">
        <f>SUM(Dec!AL8:AL107)</f>
        <v/>
      </c>
      <c r="I30" s="70">
        <f>SUM(Dec!AM8:AM107)</f>
        <v/>
      </c>
      <c r="J30" s="70">
        <f>SUM(Dec!AN8:AN107)</f>
        <v/>
      </c>
      <c r="K30" s="90">
        <f>IF(D30=0,0,E30/D30)</f>
        <v/>
      </c>
      <c r="L30" s="90">
        <f>IF(D30=0,0,(E30+F30)/D30)</f>
        <v/>
      </c>
      <c r="M30" s="81" t="n"/>
      <c r="N30" s="90" t="n"/>
      <c r="O30" s="70" t="n"/>
      <c r="P30" s="70" t="n"/>
    </row>
    <row r="31" ht="18" customHeight="1" s="57">
      <c r="A31" s="70" t="n"/>
      <c r="B31" s="63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90" t="n"/>
      <c r="N31" s="90" t="n"/>
      <c r="O31" s="70" t="n"/>
      <c r="P31" s="70" t="n"/>
    </row>
    <row r="32" ht="18" customHeight="1" s="57">
      <c r="A32" s="70" t="n"/>
      <c r="B32" s="63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90" t="n"/>
      <c r="N32" s="90" t="n"/>
      <c r="O32" s="70" t="n"/>
      <c r="P32" s="70" t="n"/>
    </row>
    <row r="33" ht="31.9" customHeight="1" s="57">
      <c r="A33" s="59" t="inlineStr">
        <is>
          <t>Annual Employee KPI Detail</t>
        </is>
      </c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6" t="n"/>
    </row>
    <row r="34" ht="37.15" customHeight="1" s="57">
      <c r="A34" s="79" t="inlineStr">
        <is>
          <t>Employee ID</t>
        </is>
      </c>
      <c r="B34" s="79" t="inlineStr">
        <is>
          <t>Employee Name</t>
        </is>
      </c>
      <c r="C34" s="79" t="inlineStr">
        <is>
          <t>Reported To</t>
        </is>
      </c>
      <c r="D34" s="79" t="inlineStr">
        <is>
          <t>Annual Working Days</t>
        </is>
      </c>
      <c r="E34" s="79" t="inlineStr">
        <is>
          <t>Present</t>
        </is>
      </c>
      <c r="F34" s="79" t="inlineStr">
        <is>
          <t>Authorised Absence</t>
        </is>
      </c>
      <c r="G34" s="79" t="inlineStr">
        <is>
          <t>Unauthorised Absence</t>
        </is>
      </c>
      <c r="H34" s="79" t="inlineStr">
        <is>
          <t>Sickness Absence</t>
        </is>
      </c>
      <c r="I34" s="79" t="inlineStr">
        <is>
          <t>Emergency Absence</t>
        </is>
      </c>
      <c r="J34" s="79" t="inlineStr">
        <is>
          <t>Other Reason</t>
        </is>
      </c>
      <c r="K34" s="79" t="inlineStr">
        <is>
          <t>Weekend Off</t>
        </is>
      </c>
      <c r="L34" s="79" t="inlineStr">
        <is>
          <t>Holiday</t>
        </is>
      </c>
      <c r="M34" s="99" t="inlineStr">
        <is>
          <t>Attendance %</t>
        </is>
      </c>
      <c r="N34" s="99" t="inlineStr">
        <is>
          <t>Compliance %</t>
        </is>
      </c>
      <c r="O34" s="79" t="inlineStr">
        <is>
          <t>Months Flagged</t>
        </is>
      </c>
      <c r="P34" s="79" t="inlineStr">
        <is>
          <t>Annual Forensic Flag</t>
        </is>
      </c>
    </row>
    <row r="35" ht="18" customHeight="1" s="57">
      <c r="A35" s="70">
        <f>IF('Employee Master'!A8="","",'Employee Master'!A8)</f>
        <v/>
      </c>
      <c r="B35" s="63">
        <f>IF($A35="","",'Employee Master'!B8)</f>
        <v/>
      </c>
      <c r="C35" s="70">
        <f>IF($A35="","",'Employee Master'!C8)</f>
        <v/>
      </c>
      <c r="D35" s="70">
        <f>IF($A35="","",$B$5)</f>
        <v/>
      </c>
      <c r="E35" s="70">
        <f>IF($A35="","",Jan!AI8+Feb!AI8+Mar!AI8+Apr!AI8+May!AI8+Jun!AI8+Jul!AI8+Aug!AI8+Sep!AI8+Oct!AI8+Nov!AI8+Dec!AI8)</f>
        <v/>
      </c>
      <c r="F35" s="70">
        <f>IF($A35="","",Jan!AJ8+Feb!AJ8+Mar!AJ8+Apr!AJ8+May!AJ8+Jun!AJ8+Jul!AJ8+Aug!AJ8+Sep!AJ8+Oct!AJ8+Nov!AJ8+Dec!AJ8)</f>
        <v/>
      </c>
      <c r="G35" s="70">
        <f>IF($A35="","",Jan!AK8+Feb!AK8+Mar!AK8+Apr!AK8+May!AK8+Jun!AK8+Jul!AK8+Aug!AK8+Sep!AK8+Oct!AK8+Nov!AK8+Dec!AK8)</f>
        <v/>
      </c>
      <c r="H35" s="70">
        <f>IF($A35="","",Jan!AL8+Feb!AL8+Mar!AL8+Apr!AL8+May!AL8+Jun!AL8+Jul!AL8+Aug!AL8+Sep!AL8+Oct!AL8+Nov!AL8+Dec!AL8)</f>
        <v/>
      </c>
      <c r="I35" s="70">
        <f>IF($A35="","",Jan!AM8+Feb!AM8+Mar!AM8+Apr!AM8+May!AM8+Jun!AM8+Jul!AM8+Aug!AM8+Sep!AM8+Oct!AM8+Nov!AM8+Dec!AM8)</f>
        <v/>
      </c>
      <c r="J35" s="70">
        <f>IF($A35="","",Jan!AN8+Feb!AN8+Mar!AN8+Apr!AN8+May!AN8+Jun!AN8+Jul!AN8+Aug!AN8+Sep!AN8+Oct!AN8+Nov!AN8+Dec!AN8)</f>
        <v/>
      </c>
      <c r="K35" s="70">
        <f>IF($A35="","",Jan!AO8+Feb!AO8+Mar!AO8+Apr!AO8+May!AO8+Jun!AO8+Jul!AO8+Aug!AO8+Sep!AO8+Oct!AO8+Nov!AO8+Dec!AO8)</f>
        <v/>
      </c>
      <c r="L35" s="70">
        <f>IF($A35="","",Jan!AP8+Feb!AP8+Mar!AP8+Apr!AP8+May!AP8+Jun!AP8+Jul!AP8+Aug!AP8+Sep!AP8+Oct!AP8+Nov!AP8+Dec!AP8)</f>
        <v/>
      </c>
      <c r="M35" s="90">
        <f>IF(OR($A35="",$D35=0),"",$E35/$D35)</f>
        <v/>
      </c>
      <c r="N35" s="90">
        <f>IF(OR($A35="",$D35=0),"",($E35+$F35)/$D35)</f>
        <v/>
      </c>
      <c r="O35" s="70">
        <f>IF($A35="","",IF(Jan!AU8="",0,IF(Jan!AU8&lt;&gt;"OK",1,0))+IF(Feb!AU8="",0,IF(Feb!AU8&lt;&gt;"OK",1,0))+IF(Mar!AU8="",0,IF(Mar!AU8&lt;&gt;"OK",1,0))+IF(Apr!AU8="",0,IF(Apr!AU8&lt;&gt;"OK",1,0))+IF(May!AU8="",0,IF(May!AU8&lt;&gt;"OK",1,0))+IF(Jun!AU8="",0,IF(Jun!AU8&lt;&gt;"OK",1,0))+IF(Jul!AU8="",0,IF(Jul!AU8&lt;&gt;"OK",1,0))+IF(Aug!AU8="",0,IF(Aug!AU8&lt;&gt;"OK",1,0))+IF(Sep!AU8="",0,IF(Sep!AU8&lt;&gt;"OK",1,0))+IF(Oct!AU8="",0,IF(Oct!AU8&lt;&gt;"OK",1,0))+IF(Nov!AU8="",0,IF(Nov!AU8&lt;&gt;"OK",1,0))+IF(Dec!AU8="",0,IF(Dec!AU8&lt;&gt;"OK",1,0)))</f>
        <v/>
      </c>
      <c r="P35" s="70">
        <f>IF($A35="","",IF(OR(Jan!AU8="CRITICAL",Feb!AU8="CRITICAL",Mar!AU8="CRITICAL",Apr!AU8="CRITICAL",May!AU8="CRITICAL",Jun!AU8="CRITICAL",Jul!AU8="CRITICAL",Aug!AU8="CRITICAL",Sep!AU8="CRITICAL",Oct!AU8="CRITICAL",Nov!AU8="CRITICAL",Dec!AU8="CRITICAL",$G35&gt;=2),"CRITICAL",IF(OR($G35&gt;0,$O35&gt;0,$N35&lt;0.95),"REVIEW","OK")))</f>
        <v/>
      </c>
    </row>
    <row r="36" ht="18" customHeight="1" s="57">
      <c r="A36" s="70">
        <f>IF('Employee Master'!A9="","",'Employee Master'!A9)</f>
        <v/>
      </c>
      <c r="B36" s="63">
        <f>IF($A36="","",'Employee Master'!B9)</f>
        <v/>
      </c>
      <c r="C36" s="70">
        <f>IF($A36="","",'Employee Master'!C9)</f>
        <v/>
      </c>
      <c r="D36" s="70">
        <f>IF($A36="","",$B$5)</f>
        <v/>
      </c>
      <c r="E36" s="70">
        <f>IF($A36="","",Jan!AI9+Feb!AI9+Mar!AI9+Apr!AI9+May!AI9+Jun!AI9+Jul!AI9+Aug!AI9+Sep!AI9+Oct!AI9+Nov!AI9+Dec!AI9)</f>
        <v/>
      </c>
      <c r="F36" s="70">
        <f>IF($A36="","",Jan!AJ9+Feb!AJ9+Mar!AJ9+Apr!AJ9+May!AJ9+Jun!AJ9+Jul!AJ9+Aug!AJ9+Sep!AJ9+Oct!AJ9+Nov!AJ9+Dec!AJ9)</f>
        <v/>
      </c>
      <c r="G36" s="70">
        <f>IF($A36="","",Jan!AK9+Feb!AK9+Mar!AK9+Apr!AK9+May!AK9+Jun!AK9+Jul!AK9+Aug!AK9+Sep!AK9+Oct!AK9+Nov!AK9+Dec!AK9)</f>
        <v/>
      </c>
      <c r="H36" s="70">
        <f>IF($A36="","",Jan!AL9+Feb!AL9+Mar!AL9+Apr!AL9+May!AL9+Jun!AL9+Jul!AL9+Aug!AL9+Sep!AL9+Oct!AL9+Nov!AL9+Dec!AL9)</f>
        <v/>
      </c>
      <c r="I36" s="70">
        <f>IF($A36="","",Jan!AM9+Feb!AM9+Mar!AM9+Apr!AM9+May!AM9+Jun!AM9+Jul!AM9+Aug!AM9+Sep!AM9+Oct!AM9+Nov!AM9+Dec!AM9)</f>
        <v/>
      </c>
      <c r="J36" s="70">
        <f>IF($A36="","",Jan!AN9+Feb!AN9+Mar!AN9+Apr!AN9+May!AN9+Jun!AN9+Jul!AN9+Aug!AN9+Sep!AN9+Oct!AN9+Nov!AN9+Dec!AN9)</f>
        <v/>
      </c>
      <c r="K36" s="70">
        <f>IF($A36="","",Jan!AO9+Feb!AO9+Mar!AO9+Apr!AO9+May!AO9+Jun!AO9+Jul!AO9+Aug!AO9+Sep!AO9+Oct!AO9+Nov!AO9+Dec!AO9)</f>
        <v/>
      </c>
      <c r="L36" s="70">
        <f>IF($A36="","",Jan!AP9+Feb!AP9+Mar!AP9+Apr!AP9+May!AP9+Jun!AP9+Jul!AP9+Aug!AP9+Sep!AP9+Oct!AP9+Nov!AP9+Dec!AP9)</f>
        <v/>
      </c>
      <c r="M36" s="90">
        <f>IF(OR($A36="",$D36=0),"",$E36/$D36)</f>
        <v/>
      </c>
      <c r="N36" s="90">
        <f>IF(OR($A36="",$D36=0),"",($E36+$F36)/$D36)</f>
        <v/>
      </c>
      <c r="O36" s="70">
        <f>IF($A36="","",IF(Jan!AU9="",0,IF(Jan!AU9&lt;&gt;"OK",1,0))+IF(Feb!AU9="",0,IF(Feb!AU9&lt;&gt;"OK",1,0))+IF(Mar!AU9="",0,IF(Mar!AU9&lt;&gt;"OK",1,0))+IF(Apr!AU9="",0,IF(Apr!AU9&lt;&gt;"OK",1,0))+IF(May!AU9="",0,IF(May!AU9&lt;&gt;"OK",1,0))+IF(Jun!AU9="",0,IF(Jun!AU9&lt;&gt;"OK",1,0))+IF(Jul!AU9="",0,IF(Jul!AU9&lt;&gt;"OK",1,0))+IF(Aug!AU9="",0,IF(Aug!AU9&lt;&gt;"OK",1,0))+IF(Sep!AU9="",0,IF(Sep!AU9&lt;&gt;"OK",1,0))+IF(Oct!AU9="",0,IF(Oct!AU9&lt;&gt;"OK",1,0))+IF(Nov!AU9="",0,IF(Nov!AU9&lt;&gt;"OK",1,0))+IF(Dec!AU9="",0,IF(Dec!AU9&lt;&gt;"OK",1,0)))</f>
        <v/>
      </c>
      <c r="P36" s="70">
        <f>IF($A36="","",IF(OR(Jan!AU9="CRITICAL",Feb!AU9="CRITICAL",Mar!AU9="CRITICAL",Apr!AU9="CRITICAL",May!AU9="CRITICAL",Jun!AU9="CRITICAL",Jul!AU9="CRITICAL",Aug!AU9="CRITICAL",Sep!AU9="CRITICAL",Oct!AU9="CRITICAL",Nov!AU9="CRITICAL",Dec!AU9="CRITICAL",$G36&gt;=2),"CRITICAL",IF(OR($G36&gt;0,$O36&gt;0,$N36&lt;0.95),"REVIEW","OK")))</f>
        <v/>
      </c>
    </row>
    <row r="37" ht="18" customHeight="1" s="57">
      <c r="A37" s="70">
        <f>IF('Employee Master'!A10="","",'Employee Master'!A10)</f>
        <v/>
      </c>
      <c r="B37" s="63">
        <f>IF($A37="","",'Employee Master'!B10)</f>
        <v/>
      </c>
      <c r="C37" s="70">
        <f>IF($A37="","",'Employee Master'!C10)</f>
        <v/>
      </c>
      <c r="D37" s="70">
        <f>IF($A37="","",$B$5)</f>
        <v/>
      </c>
      <c r="E37" s="70">
        <f>IF($A37="","",Jan!AI10+Feb!AI10+Mar!AI10+Apr!AI10+May!AI10+Jun!AI10+Jul!AI10+Aug!AI10+Sep!AI10+Oct!AI10+Nov!AI10+Dec!AI10)</f>
        <v/>
      </c>
      <c r="F37" s="70">
        <f>IF($A37="","",Jan!AJ10+Feb!AJ10+Mar!AJ10+Apr!AJ10+May!AJ10+Jun!AJ10+Jul!AJ10+Aug!AJ10+Sep!AJ10+Oct!AJ10+Nov!AJ10+Dec!AJ10)</f>
        <v/>
      </c>
      <c r="G37" s="70">
        <f>IF($A37="","",Jan!AK10+Feb!AK10+Mar!AK10+Apr!AK10+May!AK10+Jun!AK10+Jul!AK10+Aug!AK10+Sep!AK10+Oct!AK10+Nov!AK10+Dec!AK10)</f>
        <v/>
      </c>
      <c r="H37" s="70">
        <f>IF($A37="","",Jan!AL10+Feb!AL10+Mar!AL10+Apr!AL10+May!AL10+Jun!AL10+Jul!AL10+Aug!AL10+Sep!AL10+Oct!AL10+Nov!AL10+Dec!AL10)</f>
        <v/>
      </c>
      <c r="I37" s="70">
        <f>IF($A37="","",Jan!AM10+Feb!AM10+Mar!AM10+Apr!AM10+May!AM10+Jun!AM10+Jul!AM10+Aug!AM10+Sep!AM10+Oct!AM10+Nov!AM10+Dec!AM10)</f>
        <v/>
      </c>
      <c r="J37" s="70">
        <f>IF($A37="","",Jan!AN10+Feb!AN10+Mar!AN10+Apr!AN10+May!AN10+Jun!AN10+Jul!AN10+Aug!AN10+Sep!AN10+Oct!AN10+Nov!AN10+Dec!AN10)</f>
        <v/>
      </c>
      <c r="K37" s="70">
        <f>IF($A37="","",Jan!AO10+Feb!AO10+Mar!AO10+Apr!AO10+May!AO10+Jun!AO10+Jul!AO10+Aug!AO10+Sep!AO10+Oct!AO10+Nov!AO10+Dec!AO10)</f>
        <v/>
      </c>
      <c r="L37" s="70">
        <f>IF($A37="","",Jan!AP10+Feb!AP10+Mar!AP10+Apr!AP10+May!AP10+Jun!AP10+Jul!AP10+Aug!AP10+Sep!AP10+Oct!AP10+Nov!AP10+Dec!AP10)</f>
        <v/>
      </c>
      <c r="M37" s="90">
        <f>IF(OR($A37="",$D37=0),"",$E37/$D37)</f>
        <v/>
      </c>
      <c r="N37" s="90">
        <f>IF(OR($A37="",$D37=0),"",($E37+$F37)/$D37)</f>
        <v/>
      </c>
      <c r="O37" s="70">
        <f>IF($A37="","",IF(Jan!AU10="",0,IF(Jan!AU10&lt;&gt;"OK",1,0))+IF(Feb!AU10="",0,IF(Feb!AU10&lt;&gt;"OK",1,0))+IF(Mar!AU10="",0,IF(Mar!AU10&lt;&gt;"OK",1,0))+IF(Apr!AU10="",0,IF(Apr!AU10&lt;&gt;"OK",1,0))+IF(May!AU10="",0,IF(May!AU10&lt;&gt;"OK",1,0))+IF(Jun!AU10="",0,IF(Jun!AU10&lt;&gt;"OK",1,0))+IF(Jul!AU10="",0,IF(Jul!AU10&lt;&gt;"OK",1,0))+IF(Aug!AU10="",0,IF(Aug!AU10&lt;&gt;"OK",1,0))+IF(Sep!AU10="",0,IF(Sep!AU10&lt;&gt;"OK",1,0))+IF(Oct!AU10="",0,IF(Oct!AU10&lt;&gt;"OK",1,0))+IF(Nov!AU10="",0,IF(Nov!AU10&lt;&gt;"OK",1,0))+IF(Dec!AU10="",0,IF(Dec!AU10&lt;&gt;"OK",1,0)))</f>
        <v/>
      </c>
      <c r="P37" s="70">
        <f>IF($A37="","",IF(OR(Jan!AU10="CRITICAL",Feb!AU10="CRITICAL",Mar!AU10="CRITICAL",Apr!AU10="CRITICAL",May!AU10="CRITICAL",Jun!AU10="CRITICAL",Jul!AU10="CRITICAL",Aug!AU10="CRITICAL",Sep!AU10="CRITICAL",Oct!AU10="CRITICAL",Nov!AU10="CRITICAL",Dec!AU10="CRITICAL",$G37&gt;=2),"CRITICAL",IF(OR($G37&gt;0,$O37&gt;0,$N37&lt;0.95),"REVIEW","OK")))</f>
        <v/>
      </c>
    </row>
    <row r="38" ht="18" customHeight="1" s="57">
      <c r="A38" s="70">
        <f>IF('Employee Master'!A11="","",'Employee Master'!A11)</f>
        <v/>
      </c>
      <c r="B38" s="63">
        <f>IF($A38="","",'Employee Master'!B11)</f>
        <v/>
      </c>
      <c r="C38" s="70">
        <f>IF($A38="","",'Employee Master'!C11)</f>
        <v/>
      </c>
      <c r="D38" s="70">
        <f>IF($A38="","",$B$5)</f>
        <v/>
      </c>
      <c r="E38" s="70">
        <f>IF($A38="","",Jan!AI11+Feb!AI11+Mar!AI11+Apr!AI11+May!AI11+Jun!AI11+Jul!AI11+Aug!AI11+Sep!AI11+Oct!AI11+Nov!AI11+Dec!AI11)</f>
        <v/>
      </c>
      <c r="F38" s="70">
        <f>IF($A38="","",Jan!AJ11+Feb!AJ11+Mar!AJ11+Apr!AJ11+May!AJ11+Jun!AJ11+Jul!AJ11+Aug!AJ11+Sep!AJ11+Oct!AJ11+Nov!AJ11+Dec!AJ11)</f>
        <v/>
      </c>
      <c r="G38" s="70">
        <f>IF($A38="","",Jan!AK11+Feb!AK11+Mar!AK11+Apr!AK11+May!AK11+Jun!AK11+Jul!AK11+Aug!AK11+Sep!AK11+Oct!AK11+Nov!AK11+Dec!AK11)</f>
        <v/>
      </c>
      <c r="H38" s="70">
        <f>IF($A38="","",Jan!AL11+Feb!AL11+Mar!AL11+Apr!AL11+May!AL11+Jun!AL11+Jul!AL11+Aug!AL11+Sep!AL11+Oct!AL11+Nov!AL11+Dec!AL11)</f>
        <v/>
      </c>
      <c r="I38" s="70">
        <f>IF($A38="","",Jan!AM11+Feb!AM11+Mar!AM11+Apr!AM11+May!AM11+Jun!AM11+Jul!AM11+Aug!AM11+Sep!AM11+Oct!AM11+Nov!AM11+Dec!AM11)</f>
        <v/>
      </c>
      <c r="J38" s="70">
        <f>IF($A38="","",Jan!AN11+Feb!AN11+Mar!AN11+Apr!AN11+May!AN11+Jun!AN11+Jul!AN11+Aug!AN11+Sep!AN11+Oct!AN11+Nov!AN11+Dec!AN11)</f>
        <v/>
      </c>
      <c r="K38" s="70">
        <f>IF($A38="","",Jan!AO11+Feb!AO11+Mar!AO11+Apr!AO11+May!AO11+Jun!AO11+Jul!AO11+Aug!AO11+Sep!AO11+Oct!AO11+Nov!AO11+Dec!AO11)</f>
        <v/>
      </c>
      <c r="L38" s="70">
        <f>IF($A38="","",Jan!AP11+Feb!AP11+Mar!AP11+Apr!AP11+May!AP11+Jun!AP11+Jul!AP11+Aug!AP11+Sep!AP11+Oct!AP11+Nov!AP11+Dec!AP11)</f>
        <v/>
      </c>
      <c r="M38" s="90">
        <f>IF(OR($A38="",$D38=0),"",$E38/$D38)</f>
        <v/>
      </c>
      <c r="N38" s="90">
        <f>IF(OR($A38="",$D38=0),"",($E38+$F38)/$D38)</f>
        <v/>
      </c>
      <c r="O38" s="70">
        <f>IF($A38="","",IF(Jan!AU11="",0,IF(Jan!AU11&lt;&gt;"OK",1,0))+IF(Feb!AU11="",0,IF(Feb!AU11&lt;&gt;"OK",1,0))+IF(Mar!AU11="",0,IF(Mar!AU11&lt;&gt;"OK",1,0))+IF(Apr!AU11="",0,IF(Apr!AU11&lt;&gt;"OK",1,0))+IF(May!AU11="",0,IF(May!AU11&lt;&gt;"OK",1,0))+IF(Jun!AU11="",0,IF(Jun!AU11&lt;&gt;"OK",1,0))+IF(Jul!AU11="",0,IF(Jul!AU11&lt;&gt;"OK",1,0))+IF(Aug!AU11="",0,IF(Aug!AU11&lt;&gt;"OK",1,0))+IF(Sep!AU11="",0,IF(Sep!AU11&lt;&gt;"OK",1,0))+IF(Oct!AU11="",0,IF(Oct!AU11&lt;&gt;"OK",1,0))+IF(Nov!AU11="",0,IF(Nov!AU11&lt;&gt;"OK",1,0))+IF(Dec!AU11="",0,IF(Dec!AU11&lt;&gt;"OK",1,0)))</f>
        <v/>
      </c>
      <c r="P38" s="70">
        <f>IF($A38="","",IF(OR(Jan!AU11="CRITICAL",Feb!AU11="CRITICAL",Mar!AU11="CRITICAL",Apr!AU11="CRITICAL",May!AU11="CRITICAL",Jun!AU11="CRITICAL",Jul!AU11="CRITICAL",Aug!AU11="CRITICAL",Sep!AU11="CRITICAL",Oct!AU11="CRITICAL",Nov!AU11="CRITICAL",Dec!AU11="CRITICAL",$G38&gt;=2),"CRITICAL",IF(OR($G38&gt;0,$O38&gt;0,$N38&lt;0.95),"REVIEW","OK")))</f>
        <v/>
      </c>
    </row>
    <row r="39" ht="18" customHeight="1" s="57">
      <c r="A39" s="70">
        <f>IF('Employee Master'!A12="","",'Employee Master'!A12)</f>
        <v/>
      </c>
      <c r="B39" s="63">
        <f>IF($A39="","",'Employee Master'!B12)</f>
        <v/>
      </c>
      <c r="C39" s="70">
        <f>IF($A39="","",'Employee Master'!C12)</f>
        <v/>
      </c>
      <c r="D39" s="70">
        <f>IF($A39="","",$B$5)</f>
        <v/>
      </c>
      <c r="E39" s="70">
        <f>IF($A39="","",Jan!AI12+Feb!AI12+Mar!AI12+Apr!AI12+May!AI12+Jun!AI12+Jul!AI12+Aug!AI12+Sep!AI12+Oct!AI12+Nov!AI12+Dec!AI12)</f>
        <v/>
      </c>
      <c r="F39" s="70">
        <f>IF($A39="","",Jan!AJ12+Feb!AJ12+Mar!AJ12+Apr!AJ12+May!AJ12+Jun!AJ12+Jul!AJ12+Aug!AJ12+Sep!AJ12+Oct!AJ12+Nov!AJ12+Dec!AJ12)</f>
        <v/>
      </c>
      <c r="G39" s="70">
        <f>IF($A39="","",Jan!AK12+Feb!AK12+Mar!AK12+Apr!AK12+May!AK12+Jun!AK12+Jul!AK12+Aug!AK12+Sep!AK12+Oct!AK12+Nov!AK12+Dec!AK12)</f>
        <v/>
      </c>
      <c r="H39" s="70">
        <f>IF($A39="","",Jan!AL12+Feb!AL12+Mar!AL12+Apr!AL12+May!AL12+Jun!AL12+Jul!AL12+Aug!AL12+Sep!AL12+Oct!AL12+Nov!AL12+Dec!AL12)</f>
        <v/>
      </c>
      <c r="I39" s="70">
        <f>IF($A39="","",Jan!AM12+Feb!AM12+Mar!AM12+Apr!AM12+May!AM12+Jun!AM12+Jul!AM12+Aug!AM12+Sep!AM12+Oct!AM12+Nov!AM12+Dec!AM12)</f>
        <v/>
      </c>
      <c r="J39" s="70">
        <f>IF($A39="","",Jan!AN12+Feb!AN12+Mar!AN12+Apr!AN12+May!AN12+Jun!AN12+Jul!AN12+Aug!AN12+Sep!AN12+Oct!AN12+Nov!AN12+Dec!AN12)</f>
        <v/>
      </c>
      <c r="K39" s="70">
        <f>IF($A39="","",Jan!AO12+Feb!AO12+Mar!AO12+Apr!AO12+May!AO12+Jun!AO12+Jul!AO12+Aug!AO12+Sep!AO12+Oct!AO12+Nov!AO12+Dec!AO12)</f>
        <v/>
      </c>
      <c r="L39" s="70">
        <f>IF($A39="","",Jan!AP12+Feb!AP12+Mar!AP12+Apr!AP12+May!AP12+Jun!AP12+Jul!AP12+Aug!AP12+Sep!AP12+Oct!AP12+Nov!AP12+Dec!AP12)</f>
        <v/>
      </c>
      <c r="M39" s="90">
        <f>IF(OR($A39="",$D39=0),"",$E39/$D39)</f>
        <v/>
      </c>
      <c r="N39" s="90">
        <f>IF(OR($A39="",$D39=0),"",($E39+$F39)/$D39)</f>
        <v/>
      </c>
      <c r="O39" s="70">
        <f>IF($A39="","",IF(Jan!AU12="",0,IF(Jan!AU12&lt;&gt;"OK",1,0))+IF(Feb!AU12="",0,IF(Feb!AU12&lt;&gt;"OK",1,0))+IF(Mar!AU12="",0,IF(Mar!AU12&lt;&gt;"OK",1,0))+IF(Apr!AU12="",0,IF(Apr!AU12&lt;&gt;"OK",1,0))+IF(May!AU12="",0,IF(May!AU12&lt;&gt;"OK",1,0))+IF(Jun!AU12="",0,IF(Jun!AU12&lt;&gt;"OK",1,0))+IF(Jul!AU12="",0,IF(Jul!AU12&lt;&gt;"OK",1,0))+IF(Aug!AU12="",0,IF(Aug!AU12&lt;&gt;"OK",1,0))+IF(Sep!AU12="",0,IF(Sep!AU12&lt;&gt;"OK",1,0))+IF(Oct!AU12="",0,IF(Oct!AU12&lt;&gt;"OK",1,0))+IF(Nov!AU12="",0,IF(Nov!AU12&lt;&gt;"OK",1,0))+IF(Dec!AU12="",0,IF(Dec!AU12&lt;&gt;"OK",1,0)))</f>
        <v/>
      </c>
      <c r="P39" s="70">
        <f>IF($A39="","",IF(OR(Jan!AU12="CRITICAL",Feb!AU12="CRITICAL",Mar!AU12="CRITICAL",Apr!AU12="CRITICAL",May!AU12="CRITICAL",Jun!AU12="CRITICAL",Jul!AU12="CRITICAL",Aug!AU12="CRITICAL",Sep!AU12="CRITICAL",Oct!AU12="CRITICAL",Nov!AU12="CRITICAL",Dec!AU12="CRITICAL",$G39&gt;=2),"CRITICAL",IF(OR($G39&gt;0,$O39&gt;0,$N39&lt;0.95),"REVIEW","OK")))</f>
        <v/>
      </c>
    </row>
    <row r="40" ht="18" customHeight="1" s="57">
      <c r="A40" s="70">
        <f>IF('Employee Master'!A13="","",'Employee Master'!A13)</f>
        <v/>
      </c>
      <c r="B40" s="63">
        <f>IF($A40="","",'Employee Master'!B13)</f>
        <v/>
      </c>
      <c r="C40" s="70">
        <f>IF($A40="","",'Employee Master'!C13)</f>
        <v/>
      </c>
      <c r="D40" s="70">
        <f>IF($A40="","",$B$5)</f>
        <v/>
      </c>
      <c r="E40" s="70">
        <f>IF($A40="","",Jan!AI13+Feb!AI13+Mar!AI13+Apr!AI13+May!AI13+Jun!AI13+Jul!AI13+Aug!AI13+Sep!AI13+Oct!AI13+Nov!AI13+Dec!AI13)</f>
        <v/>
      </c>
      <c r="F40" s="70">
        <f>IF($A40="","",Jan!AJ13+Feb!AJ13+Mar!AJ13+Apr!AJ13+May!AJ13+Jun!AJ13+Jul!AJ13+Aug!AJ13+Sep!AJ13+Oct!AJ13+Nov!AJ13+Dec!AJ13)</f>
        <v/>
      </c>
      <c r="G40" s="70">
        <f>IF($A40="","",Jan!AK13+Feb!AK13+Mar!AK13+Apr!AK13+May!AK13+Jun!AK13+Jul!AK13+Aug!AK13+Sep!AK13+Oct!AK13+Nov!AK13+Dec!AK13)</f>
        <v/>
      </c>
      <c r="H40" s="70">
        <f>IF($A40="","",Jan!AL13+Feb!AL13+Mar!AL13+Apr!AL13+May!AL13+Jun!AL13+Jul!AL13+Aug!AL13+Sep!AL13+Oct!AL13+Nov!AL13+Dec!AL13)</f>
        <v/>
      </c>
      <c r="I40" s="70">
        <f>IF($A40="","",Jan!AM13+Feb!AM13+Mar!AM13+Apr!AM13+May!AM13+Jun!AM13+Jul!AM13+Aug!AM13+Sep!AM13+Oct!AM13+Nov!AM13+Dec!AM13)</f>
        <v/>
      </c>
      <c r="J40" s="70">
        <f>IF($A40="","",Jan!AN13+Feb!AN13+Mar!AN13+Apr!AN13+May!AN13+Jun!AN13+Jul!AN13+Aug!AN13+Sep!AN13+Oct!AN13+Nov!AN13+Dec!AN13)</f>
        <v/>
      </c>
      <c r="K40" s="70">
        <f>IF($A40="","",Jan!AO13+Feb!AO13+Mar!AO13+Apr!AO13+May!AO13+Jun!AO13+Jul!AO13+Aug!AO13+Sep!AO13+Oct!AO13+Nov!AO13+Dec!AO13)</f>
        <v/>
      </c>
      <c r="L40" s="70">
        <f>IF($A40="","",Jan!AP13+Feb!AP13+Mar!AP13+Apr!AP13+May!AP13+Jun!AP13+Jul!AP13+Aug!AP13+Sep!AP13+Oct!AP13+Nov!AP13+Dec!AP13)</f>
        <v/>
      </c>
      <c r="M40" s="90">
        <f>IF(OR($A40="",$D40=0),"",$E40/$D40)</f>
        <v/>
      </c>
      <c r="N40" s="90">
        <f>IF(OR($A40="",$D40=0),"",($E40+$F40)/$D40)</f>
        <v/>
      </c>
      <c r="O40" s="70">
        <f>IF($A40="","",IF(Jan!AU13="",0,IF(Jan!AU13&lt;&gt;"OK",1,0))+IF(Feb!AU13="",0,IF(Feb!AU13&lt;&gt;"OK",1,0))+IF(Mar!AU13="",0,IF(Mar!AU13&lt;&gt;"OK",1,0))+IF(Apr!AU13="",0,IF(Apr!AU13&lt;&gt;"OK",1,0))+IF(May!AU13="",0,IF(May!AU13&lt;&gt;"OK",1,0))+IF(Jun!AU13="",0,IF(Jun!AU13&lt;&gt;"OK",1,0))+IF(Jul!AU13="",0,IF(Jul!AU13&lt;&gt;"OK",1,0))+IF(Aug!AU13="",0,IF(Aug!AU13&lt;&gt;"OK",1,0))+IF(Sep!AU13="",0,IF(Sep!AU13&lt;&gt;"OK",1,0))+IF(Oct!AU13="",0,IF(Oct!AU13&lt;&gt;"OK",1,0))+IF(Nov!AU13="",0,IF(Nov!AU13&lt;&gt;"OK",1,0))+IF(Dec!AU13="",0,IF(Dec!AU13&lt;&gt;"OK",1,0)))</f>
        <v/>
      </c>
      <c r="P40" s="70">
        <f>IF($A40="","",IF(OR(Jan!AU13="CRITICAL",Feb!AU13="CRITICAL",Mar!AU13="CRITICAL",Apr!AU13="CRITICAL",May!AU13="CRITICAL",Jun!AU13="CRITICAL",Jul!AU13="CRITICAL",Aug!AU13="CRITICAL",Sep!AU13="CRITICAL",Oct!AU13="CRITICAL",Nov!AU13="CRITICAL",Dec!AU13="CRITICAL",$G40&gt;=2),"CRITICAL",IF(OR($G40&gt;0,$O40&gt;0,$N40&lt;0.95),"REVIEW","OK")))</f>
        <v/>
      </c>
    </row>
    <row r="41" ht="18" customHeight="1" s="57">
      <c r="A41" s="70">
        <f>IF('Employee Master'!A14="","",'Employee Master'!A14)</f>
        <v/>
      </c>
      <c r="B41" s="63">
        <f>IF($A41="","",'Employee Master'!B14)</f>
        <v/>
      </c>
      <c r="C41" s="70">
        <f>IF($A41="","",'Employee Master'!C14)</f>
        <v/>
      </c>
      <c r="D41" s="70">
        <f>IF($A41="","",$B$5)</f>
        <v/>
      </c>
      <c r="E41" s="70">
        <f>IF($A41="","",Jan!AI14+Feb!AI14+Mar!AI14+Apr!AI14+May!AI14+Jun!AI14+Jul!AI14+Aug!AI14+Sep!AI14+Oct!AI14+Nov!AI14+Dec!AI14)</f>
        <v/>
      </c>
      <c r="F41" s="70">
        <f>IF($A41="","",Jan!AJ14+Feb!AJ14+Mar!AJ14+Apr!AJ14+May!AJ14+Jun!AJ14+Jul!AJ14+Aug!AJ14+Sep!AJ14+Oct!AJ14+Nov!AJ14+Dec!AJ14)</f>
        <v/>
      </c>
      <c r="G41" s="70">
        <f>IF($A41="","",Jan!AK14+Feb!AK14+Mar!AK14+Apr!AK14+May!AK14+Jun!AK14+Jul!AK14+Aug!AK14+Sep!AK14+Oct!AK14+Nov!AK14+Dec!AK14)</f>
        <v/>
      </c>
      <c r="H41" s="70">
        <f>IF($A41="","",Jan!AL14+Feb!AL14+Mar!AL14+Apr!AL14+May!AL14+Jun!AL14+Jul!AL14+Aug!AL14+Sep!AL14+Oct!AL14+Nov!AL14+Dec!AL14)</f>
        <v/>
      </c>
      <c r="I41" s="70">
        <f>IF($A41="","",Jan!AM14+Feb!AM14+Mar!AM14+Apr!AM14+May!AM14+Jun!AM14+Jul!AM14+Aug!AM14+Sep!AM14+Oct!AM14+Nov!AM14+Dec!AM14)</f>
        <v/>
      </c>
      <c r="J41" s="70">
        <f>IF($A41="","",Jan!AN14+Feb!AN14+Mar!AN14+Apr!AN14+May!AN14+Jun!AN14+Jul!AN14+Aug!AN14+Sep!AN14+Oct!AN14+Nov!AN14+Dec!AN14)</f>
        <v/>
      </c>
      <c r="K41" s="70">
        <f>IF($A41="","",Jan!AO14+Feb!AO14+Mar!AO14+Apr!AO14+May!AO14+Jun!AO14+Jul!AO14+Aug!AO14+Sep!AO14+Oct!AO14+Nov!AO14+Dec!AO14)</f>
        <v/>
      </c>
      <c r="L41" s="70">
        <f>IF($A41="","",Jan!AP14+Feb!AP14+Mar!AP14+Apr!AP14+May!AP14+Jun!AP14+Jul!AP14+Aug!AP14+Sep!AP14+Oct!AP14+Nov!AP14+Dec!AP14)</f>
        <v/>
      </c>
      <c r="M41" s="90">
        <f>IF(OR($A41="",$D41=0),"",$E41/$D41)</f>
        <v/>
      </c>
      <c r="N41" s="90">
        <f>IF(OR($A41="",$D41=0),"",($E41+$F41)/$D41)</f>
        <v/>
      </c>
      <c r="O41" s="70">
        <f>IF($A41="","",IF(Jan!AU14="",0,IF(Jan!AU14&lt;&gt;"OK",1,0))+IF(Feb!AU14="",0,IF(Feb!AU14&lt;&gt;"OK",1,0))+IF(Mar!AU14="",0,IF(Mar!AU14&lt;&gt;"OK",1,0))+IF(Apr!AU14="",0,IF(Apr!AU14&lt;&gt;"OK",1,0))+IF(May!AU14="",0,IF(May!AU14&lt;&gt;"OK",1,0))+IF(Jun!AU14="",0,IF(Jun!AU14&lt;&gt;"OK",1,0))+IF(Jul!AU14="",0,IF(Jul!AU14&lt;&gt;"OK",1,0))+IF(Aug!AU14="",0,IF(Aug!AU14&lt;&gt;"OK",1,0))+IF(Sep!AU14="",0,IF(Sep!AU14&lt;&gt;"OK",1,0))+IF(Oct!AU14="",0,IF(Oct!AU14&lt;&gt;"OK",1,0))+IF(Nov!AU14="",0,IF(Nov!AU14&lt;&gt;"OK",1,0))+IF(Dec!AU14="",0,IF(Dec!AU14&lt;&gt;"OK",1,0)))</f>
        <v/>
      </c>
      <c r="P41" s="70">
        <f>IF($A41="","",IF(OR(Jan!AU14="CRITICAL",Feb!AU14="CRITICAL",Mar!AU14="CRITICAL",Apr!AU14="CRITICAL",May!AU14="CRITICAL",Jun!AU14="CRITICAL",Jul!AU14="CRITICAL",Aug!AU14="CRITICAL",Sep!AU14="CRITICAL",Oct!AU14="CRITICAL",Nov!AU14="CRITICAL",Dec!AU14="CRITICAL",$G41&gt;=2),"CRITICAL",IF(OR($G41&gt;0,$O41&gt;0,$N41&lt;0.95),"REVIEW","OK")))</f>
        <v/>
      </c>
    </row>
    <row r="42" ht="18" customHeight="1" s="57">
      <c r="A42" s="70">
        <f>IF('Employee Master'!A15="","",'Employee Master'!A15)</f>
        <v/>
      </c>
      <c r="B42" s="63">
        <f>IF($A42="","",'Employee Master'!B15)</f>
        <v/>
      </c>
      <c r="C42" s="70">
        <f>IF($A42="","",'Employee Master'!C15)</f>
        <v/>
      </c>
      <c r="D42" s="70">
        <f>IF($A42="","",$B$5)</f>
        <v/>
      </c>
      <c r="E42" s="70">
        <f>IF($A42="","",Jan!AI15+Feb!AI15+Mar!AI15+Apr!AI15+May!AI15+Jun!AI15+Jul!AI15+Aug!AI15+Sep!AI15+Oct!AI15+Nov!AI15+Dec!AI15)</f>
        <v/>
      </c>
      <c r="F42" s="70">
        <f>IF($A42="","",Jan!AJ15+Feb!AJ15+Mar!AJ15+Apr!AJ15+May!AJ15+Jun!AJ15+Jul!AJ15+Aug!AJ15+Sep!AJ15+Oct!AJ15+Nov!AJ15+Dec!AJ15)</f>
        <v/>
      </c>
      <c r="G42" s="70">
        <f>IF($A42="","",Jan!AK15+Feb!AK15+Mar!AK15+Apr!AK15+May!AK15+Jun!AK15+Jul!AK15+Aug!AK15+Sep!AK15+Oct!AK15+Nov!AK15+Dec!AK15)</f>
        <v/>
      </c>
      <c r="H42" s="70">
        <f>IF($A42="","",Jan!AL15+Feb!AL15+Mar!AL15+Apr!AL15+May!AL15+Jun!AL15+Jul!AL15+Aug!AL15+Sep!AL15+Oct!AL15+Nov!AL15+Dec!AL15)</f>
        <v/>
      </c>
      <c r="I42" s="70">
        <f>IF($A42="","",Jan!AM15+Feb!AM15+Mar!AM15+Apr!AM15+May!AM15+Jun!AM15+Jul!AM15+Aug!AM15+Sep!AM15+Oct!AM15+Nov!AM15+Dec!AM15)</f>
        <v/>
      </c>
      <c r="J42" s="70">
        <f>IF($A42="","",Jan!AN15+Feb!AN15+Mar!AN15+Apr!AN15+May!AN15+Jun!AN15+Jul!AN15+Aug!AN15+Sep!AN15+Oct!AN15+Nov!AN15+Dec!AN15)</f>
        <v/>
      </c>
      <c r="K42" s="70">
        <f>IF($A42="","",Jan!AO15+Feb!AO15+Mar!AO15+Apr!AO15+May!AO15+Jun!AO15+Jul!AO15+Aug!AO15+Sep!AO15+Oct!AO15+Nov!AO15+Dec!AO15)</f>
        <v/>
      </c>
      <c r="L42" s="70">
        <f>IF($A42="","",Jan!AP15+Feb!AP15+Mar!AP15+Apr!AP15+May!AP15+Jun!AP15+Jul!AP15+Aug!AP15+Sep!AP15+Oct!AP15+Nov!AP15+Dec!AP15)</f>
        <v/>
      </c>
      <c r="M42" s="90">
        <f>IF(OR($A42="",$D42=0),"",$E42/$D42)</f>
        <v/>
      </c>
      <c r="N42" s="90">
        <f>IF(OR($A42="",$D42=0),"",($E42+$F42)/$D42)</f>
        <v/>
      </c>
      <c r="O42" s="70">
        <f>IF($A42="","",IF(Jan!AU15="",0,IF(Jan!AU15&lt;&gt;"OK",1,0))+IF(Feb!AU15="",0,IF(Feb!AU15&lt;&gt;"OK",1,0))+IF(Mar!AU15="",0,IF(Mar!AU15&lt;&gt;"OK",1,0))+IF(Apr!AU15="",0,IF(Apr!AU15&lt;&gt;"OK",1,0))+IF(May!AU15="",0,IF(May!AU15&lt;&gt;"OK",1,0))+IF(Jun!AU15="",0,IF(Jun!AU15&lt;&gt;"OK",1,0))+IF(Jul!AU15="",0,IF(Jul!AU15&lt;&gt;"OK",1,0))+IF(Aug!AU15="",0,IF(Aug!AU15&lt;&gt;"OK",1,0))+IF(Sep!AU15="",0,IF(Sep!AU15&lt;&gt;"OK",1,0))+IF(Oct!AU15="",0,IF(Oct!AU15&lt;&gt;"OK",1,0))+IF(Nov!AU15="",0,IF(Nov!AU15&lt;&gt;"OK",1,0))+IF(Dec!AU15="",0,IF(Dec!AU15&lt;&gt;"OK",1,0)))</f>
        <v/>
      </c>
      <c r="P42" s="70">
        <f>IF($A42="","",IF(OR(Jan!AU15="CRITICAL",Feb!AU15="CRITICAL",Mar!AU15="CRITICAL",Apr!AU15="CRITICAL",May!AU15="CRITICAL",Jun!AU15="CRITICAL",Jul!AU15="CRITICAL",Aug!AU15="CRITICAL",Sep!AU15="CRITICAL",Oct!AU15="CRITICAL",Nov!AU15="CRITICAL",Dec!AU15="CRITICAL",$G42&gt;=2),"CRITICAL",IF(OR($G42&gt;0,$O42&gt;0,$N42&lt;0.95),"REVIEW","OK")))</f>
        <v/>
      </c>
    </row>
    <row r="43" ht="18" customHeight="1" s="57">
      <c r="A43" s="70">
        <f>IF('Employee Master'!A16="","",'Employee Master'!A16)</f>
        <v/>
      </c>
      <c r="B43" s="63">
        <f>IF($A43="","",'Employee Master'!B16)</f>
        <v/>
      </c>
      <c r="C43" s="70">
        <f>IF($A43="","",'Employee Master'!C16)</f>
        <v/>
      </c>
      <c r="D43" s="70">
        <f>IF($A43="","",$B$5)</f>
        <v/>
      </c>
      <c r="E43" s="70">
        <f>IF($A43="","",Jan!AI16+Feb!AI16+Mar!AI16+Apr!AI16+May!AI16+Jun!AI16+Jul!AI16+Aug!AI16+Sep!AI16+Oct!AI16+Nov!AI16+Dec!AI16)</f>
        <v/>
      </c>
      <c r="F43" s="70">
        <f>IF($A43="","",Jan!AJ16+Feb!AJ16+Mar!AJ16+Apr!AJ16+May!AJ16+Jun!AJ16+Jul!AJ16+Aug!AJ16+Sep!AJ16+Oct!AJ16+Nov!AJ16+Dec!AJ16)</f>
        <v/>
      </c>
      <c r="G43" s="70">
        <f>IF($A43="","",Jan!AK16+Feb!AK16+Mar!AK16+Apr!AK16+May!AK16+Jun!AK16+Jul!AK16+Aug!AK16+Sep!AK16+Oct!AK16+Nov!AK16+Dec!AK16)</f>
        <v/>
      </c>
      <c r="H43" s="70">
        <f>IF($A43="","",Jan!AL16+Feb!AL16+Mar!AL16+Apr!AL16+May!AL16+Jun!AL16+Jul!AL16+Aug!AL16+Sep!AL16+Oct!AL16+Nov!AL16+Dec!AL16)</f>
        <v/>
      </c>
      <c r="I43" s="70">
        <f>IF($A43="","",Jan!AM16+Feb!AM16+Mar!AM16+Apr!AM16+May!AM16+Jun!AM16+Jul!AM16+Aug!AM16+Sep!AM16+Oct!AM16+Nov!AM16+Dec!AM16)</f>
        <v/>
      </c>
      <c r="J43" s="70">
        <f>IF($A43="","",Jan!AN16+Feb!AN16+Mar!AN16+Apr!AN16+May!AN16+Jun!AN16+Jul!AN16+Aug!AN16+Sep!AN16+Oct!AN16+Nov!AN16+Dec!AN16)</f>
        <v/>
      </c>
      <c r="K43" s="70">
        <f>IF($A43="","",Jan!AO16+Feb!AO16+Mar!AO16+Apr!AO16+May!AO16+Jun!AO16+Jul!AO16+Aug!AO16+Sep!AO16+Oct!AO16+Nov!AO16+Dec!AO16)</f>
        <v/>
      </c>
      <c r="L43" s="70">
        <f>IF($A43="","",Jan!AP16+Feb!AP16+Mar!AP16+Apr!AP16+May!AP16+Jun!AP16+Jul!AP16+Aug!AP16+Sep!AP16+Oct!AP16+Nov!AP16+Dec!AP16)</f>
        <v/>
      </c>
      <c r="M43" s="90">
        <f>IF(OR($A43="",$D43=0),"",$E43/$D43)</f>
        <v/>
      </c>
      <c r="N43" s="90">
        <f>IF(OR($A43="",$D43=0),"",($E43+$F43)/$D43)</f>
        <v/>
      </c>
      <c r="O43" s="70">
        <f>IF($A43="","",IF(Jan!AU16="",0,IF(Jan!AU16&lt;&gt;"OK",1,0))+IF(Feb!AU16="",0,IF(Feb!AU16&lt;&gt;"OK",1,0))+IF(Mar!AU16="",0,IF(Mar!AU16&lt;&gt;"OK",1,0))+IF(Apr!AU16="",0,IF(Apr!AU16&lt;&gt;"OK",1,0))+IF(May!AU16="",0,IF(May!AU16&lt;&gt;"OK",1,0))+IF(Jun!AU16="",0,IF(Jun!AU16&lt;&gt;"OK",1,0))+IF(Jul!AU16="",0,IF(Jul!AU16&lt;&gt;"OK",1,0))+IF(Aug!AU16="",0,IF(Aug!AU16&lt;&gt;"OK",1,0))+IF(Sep!AU16="",0,IF(Sep!AU16&lt;&gt;"OK",1,0))+IF(Oct!AU16="",0,IF(Oct!AU16&lt;&gt;"OK",1,0))+IF(Nov!AU16="",0,IF(Nov!AU16&lt;&gt;"OK",1,0))+IF(Dec!AU16="",0,IF(Dec!AU16&lt;&gt;"OK",1,0)))</f>
        <v/>
      </c>
      <c r="P43" s="70">
        <f>IF($A43="","",IF(OR(Jan!AU16="CRITICAL",Feb!AU16="CRITICAL",Mar!AU16="CRITICAL",Apr!AU16="CRITICAL",May!AU16="CRITICAL",Jun!AU16="CRITICAL",Jul!AU16="CRITICAL",Aug!AU16="CRITICAL",Sep!AU16="CRITICAL",Oct!AU16="CRITICAL",Nov!AU16="CRITICAL",Dec!AU16="CRITICAL",$G43&gt;=2),"CRITICAL",IF(OR($G43&gt;0,$O43&gt;0,$N43&lt;0.95),"REVIEW","OK")))</f>
        <v/>
      </c>
    </row>
    <row r="44" ht="18" customHeight="1" s="57">
      <c r="A44" s="70">
        <f>IF('Employee Master'!A17="","",'Employee Master'!A17)</f>
        <v/>
      </c>
      <c r="B44" s="63">
        <f>IF($A44="","",'Employee Master'!B17)</f>
        <v/>
      </c>
      <c r="C44" s="70">
        <f>IF($A44="","",'Employee Master'!C17)</f>
        <v/>
      </c>
      <c r="D44" s="70">
        <f>IF($A44="","",$B$5)</f>
        <v/>
      </c>
      <c r="E44" s="70">
        <f>IF($A44="","",Jan!AI17+Feb!AI17+Mar!AI17+Apr!AI17+May!AI17+Jun!AI17+Jul!AI17+Aug!AI17+Sep!AI17+Oct!AI17+Nov!AI17+Dec!AI17)</f>
        <v/>
      </c>
      <c r="F44" s="70">
        <f>IF($A44="","",Jan!AJ17+Feb!AJ17+Mar!AJ17+Apr!AJ17+May!AJ17+Jun!AJ17+Jul!AJ17+Aug!AJ17+Sep!AJ17+Oct!AJ17+Nov!AJ17+Dec!AJ17)</f>
        <v/>
      </c>
      <c r="G44" s="70">
        <f>IF($A44="","",Jan!AK17+Feb!AK17+Mar!AK17+Apr!AK17+May!AK17+Jun!AK17+Jul!AK17+Aug!AK17+Sep!AK17+Oct!AK17+Nov!AK17+Dec!AK17)</f>
        <v/>
      </c>
      <c r="H44" s="70">
        <f>IF($A44="","",Jan!AL17+Feb!AL17+Mar!AL17+Apr!AL17+May!AL17+Jun!AL17+Jul!AL17+Aug!AL17+Sep!AL17+Oct!AL17+Nov!AL17+Dec!AL17)</f>
        <v/>
      </c>
      <c r="I44" s="70">
        <f>IF($A44="","",Jan!AM17+Feb!AM17+Mar!AM17+Apr!AM17+May!AM17+Jun!AM17+Jul!AM17+Aug!AM17+Sep!AM17+Oct!AM17+Nov!AM17+Dec!AM17)</f>
        <v/>
      </c>
      <c r="J44" s="70">
        <f>IF($A44="","",Jan!AN17+Feb!AN17+Mar!AN17+Apr!AN17+May!AN17+Jun!AN17+Jul!AN17+Aug!AN17+Sep!AN17+Oct!AN17+Nov!AN17+Dec!AN17)</f>
        <v/>
      </c>
      <c r="K44" s="70">
        <f>IF($A44="","",Jan!AO17+Feb!AO17+Mar!AO17+Apr!AO17+May!AO17+Jun!AO17+Jul!AO17+Aug!AO17+Sep!AO17+Oct!AO17+Nov!AO17+Dec!AO17)</f>
        <v/>
      </c>
      <c r="L44" s="70">
        <f>IF($A44="","",Jan!AP17+Feb!AP17+Mar!AP17+Apr!AP17+May!AP17+Jun!AP17+Jul!AP17+Aug!AP17+Sep!AP17+Oct!AP17+Nov!AP17+Dec!AP17)</f>
        <v/>
      </c>
      <c r="M44" s="90">
        <f>IF(OR($A44="",$D44=0),"",$E44/$D44)</f>
        <v/>
      </c>
      <c r="N44" s="90">
        <f>IF(OR($A44="",$D44=0),"",($E44+$F44)/$D44)</f>
        <v/>
      </c>
      <c r="O44" s="70">
        <f>IF($A44="","",IF(Jan!AU17="",0,IF(Jan!AU17&lt;&gt;"OK",1,0))+IF(Feb!AU17="",0,IF(Feb!AU17&lt;&gt;"OK",1,0))+IF(Mar!AU17="",0,IF(Mar!AU17&lt;&gt;"OK",1,0))+IF(Apr!AU17="",0,IF(Apr!AU17&lt;&gt;"OK",1,0))+IF(May!AU17="",0,IF(May!AU17&lt;&gt;"OK",1,0))+IF(Jun!AU17="",0,IF(Jun!AU17&lt;&gt;"OK",1,0))+IF(Jul!AU17="",0,IF(Jul!AU17&lt;&gt;"OK",1,0))+IF(Aug!AU17="",0,IF(Aug!AU17&lt;&gt;"OK",1,0))+IF(Sep!AU17="",0,IF(Sep!AU17&lt;&gt;"OK",1,0))+IF(Oct!AU17="",0,IF(Oct!AU17&lt;&gt;"OK",1,0))+IF(Nov!AU17="",0,IF(Nov!AU17&lt;&gt;"OK",1,0))+IF(Dec!AU17="",0,IF(Dec!AU17&lt;&gt;"OK",1,0)))</f>
        <v/>
      </c>
      <c r="P44" s="70">
        <f>IF($A44="","",IF(OR(Jan!AU17="CRITICAL",Feb!AU17="CRITICAL",Mar!AU17="CRITICAL",Apr!AU17="CRITICAL",May!AU17="CRITICAL",Jun!AU17="CRITICAL",Jul!AU17="CRITICAL",Aug!AU17="CRITICAL",Sep!AU17="CRITICAL",Oct!AU17="CRITICAL",Nov!AU17="CRITICAL",Dec!AU17="CRITICAL",$G44&gt;=2),"CRITICAL",IF(OR($G44&gt;0,$O44&gt;0,$N44&lt;0.95),"REVIEW","OK")))</f>
        <v/>
      </c>
    </row>
    <row r="45" ht="18" customHeight="1" s="57">
      <c r="A45" s="70">
        <f>IF('Employee Master'!A18="","",'Employee Master'!A18)</f>
        <v/>
      </c>
      <c r="B45" s="63">
        <f>IF($A45="","",'Employee Master'!B18)</f>
        <v/>
      </c>
      <c r="C45" s="70">
        <f>IF($A45="","",'Employee Master'!C18)</f>
        <v/>
      </c>
      <c r="D45" s="70">
        <f>IF($A45="","",$B$5)</f>
        <v/>
      </c>
      <c r="E45" s="70">
        <f>IF($A45="","",Jan!AI18+Feb!AI18+Mar!AI18+Apr!AI18+May!AI18+Jun!AI18+Jul!AI18+Aug!AI18+Sep!AI18+Oct!AI18+Nov!AI18+Dec!AI18)</f>
        <v/>
      </c>
      <c r="F45" s="70">
        <f>IF($A45="","",Jan!AJ18+Feb!AJ18+Mar!AJ18+Apr!AJ18+May!AJ18+Jun!AJ18+Jul!AJ18+Aug!AJ18+Sep!AJ18+Oct!AJ18+Nov!AJ18+Dec!AJ18)</f>
        <v/>
      </c>
      <c r="G45" s="70">
        <f>IF($A45="","",Jan!AK18+Feb!AK18+Mar!AK18+Apr!AK18+May!AK18+Jun!AK18+Jul!AK18+Aug!AK18+Sep!AK18+Oct!AK18+Nov!AK18+Dec!AK18)</f>
        <v/>
      </c>
      <c r="H45" s="70">
        <f>IF($A45="","",Jan!AL18+Feb!AL18+Mar!AL18+Apr!AL18+May!AL18+Jun!AL18+Jul!AL18+Aug!AL18+Sep!AL18+Oct!AL18+Nov!AL18+Dec!AL18)</f>
        <v/>
      </c>
      <c r="I45" s="70">
        <f>IF($A45="","",Jan!AM18+Feb!AM18+Mar!AM18+Apr!AM18+May!AM18+Jun!AM18+Jul!AM18+Aug!AM18+Sep!AM18+Oct!AM18+Nov!AM18+Dec!AM18)</f>
        <v/>
      </c>
      <c r="J45" s="70">
        <f>IF($A45="","",Jan!AN18+Feb!AN18+Mar!AN18+Apr!AN18+May!AN18+Jun!AN18+Jul!AN18+Aug!AN18+Sep!AN18+Oct!AN18+Nov!AN18+Dec!AN18)</f>
        <v/>
      </c>
      <c r="K45" s="70">
        <f>IF($A45="","",Jan!AO18+Feb!AO18+Mar!AO18+Apr!AO18+May!AO18+Jun!AO18+Jul!AO18+Aug!AO18+Sep!AO18+Oct!AO18+Nov!AO18+Dec!AO18)</f>
        <v/>
      </c>
      <c r="L45" s="70">
        <f>IF($A45="","",Jan!AP18+Feb!AP18+Mar!AP18+Apr!AP18+May!AP18+Jun!AP18+Jul!AP18+Aug!AP18+Sep!AP18+Oct!AP18+Nov!AP18+Dec!AP18)</f>
        <v/>
      </c>
      <c r="M45" s="90">
        <f>IF(OR($A45="",$D45=0),"",$E45/$D45)</f>
        <v/>
      </c>
      <c r="N45" s="90">
        <f>IF(OR($A45="",$D45=0),"",($E45+$F45)/$D45)</f>
        <v/>
      </c>
      <c r="O45" s="70">
        <f>IF($A45="","",IF(Jan!AU18="",0,IF(Jan!AU18&lt;&gt;"OK",1,0))+IF(Feb!AU18="",0,IF(Feb!AU18&lt;&gt;"OK",1,0))+IF(Mar!AU18="",0,IF(Mar!AU18&lt;&gt;"OK",1,0))+IF(Apr!AU18="",0,IF(Apr!AU18&lt;&gt;"OK",1,0))+IF(May!AU18="",0,IF(May!AU18&lt;&gt;"OK",1,0))+IF(Jun!AU18="",0,IF(Jun!AU18&lt;&gt;"OK",1,0))+IF(Jul!AU18="",0,IF(Jul!AU18&lt;&gt;"OK",1,0))+IF(Aug!AU18="",0,IF(Aug!AU18&lt;&gt;"OK",1,0))+IF(Sep!AU18="",0,IF(Sep!AU18&lt;&gt;"OK",1,0))+IF(Oct!AU18="",0,IF(Oct!AU18&lt;&gt;"OK",1,0))+IF(Nov!AU18="",0,IF(Nov!AU18&lt;&gt;"OK",1,0))+IF(Dec!AU18="",0,IF(Dec!AU18&lt;&gt;"OK",1,0)))</f>
        <v/>
      </c>
      <c r="P45" s="70">
        <f>IF($A45="","",IF(OR(Jan!AU18="CRITICAL",Feb!AU18="CRITICAL",Mar!AU18="CRITICAL",Apr!AU18="CRITICAL",May!AU18="CRITICAL",Jun!AU18="CRITICAL",Jul!AU18="CRITICAL",Aug!AU18="CRITICAL",Sep!AU18="CRITICAL",Oct!AU18="CRITICAL",Nov!AU18="CRITICAL",Dec!AU18="CRITICAL",$G45&gt;=2),"CRITICAL",IF(OR($G45&gt;0,$O45&gt;0,$N45&lt;0.95),"REVIEW","OK")))</f>
        <v/>
      </c>
    </row>
    <row r="46" ht="18" customHeight="1" s="57">
      <c r="A46" s="70">
        <f>IF('Employee Master'!A19="","",'Employee Master'!A19)</f>
        <v/>
      </c>
      <c r="B46" s="63">
        <f>IF($A46="","",'Employee Master'!B19)</f>
        <v/>
      </c>
      <c r="C46" s="70">
        <f>IF($A46="","",'Employee Master'!C19)</f>
        <v/>
      </c>
      <c r="D46" s="70">
        <f>IF($A46="","",$B$5)</f>
        <v/>
      </c>
      <c r="E46" s="70">
        <f>IF($A46="","",Jan!AI19+Feb!AI19+Mar!AI19+Apr!AI19+May!AI19+Jun!AI19+Jul!AI19+Aug!AI19+Sep!AI19+Oct!AI19+Nov!AI19+Dec!AI19)</f>
        <v/>
      </c>
      <c r="F46" s="70">
        <f>IF($A46="","",Jan!AJ19+Feb!AJ19+Mar!AJ19+Apr!AJ19+May!AJ19+Jun!AJ19+Jul!AJ19+Aug!AJ19+Sep!AJ19+Oct!AJ19+Nov!AJ19+Dec!AJ19)</f>
        <v/>
      </c>
      <c r="G46" s="70">
        <f>IF($A46="","",Jan!AK19+Feb!AK19+Mar!AK19+Apr!AK19+May!AK19+Jun!AK19+Jul!AK19+Aug!AK19+Sep!AK19+Oct!AK19+Nov!AK19+Dec!AK19)</f>
        <v/>
      </c>
      <c r="H46" s="70">
        <f>IF($A46="","",Jan!AL19+Feb!AL19+Mar!AL19+Apr!AL19+May!AL19+Jun!AL19+Jul!AL19+Aug!AL19+Sep!AL19+Oct!AL19+Nov!AL19+Dec!AL19)</f>
        <v/>
      </c>
      <c r="I46" s="70">
        <f>IF($A46="","",Jan!AM19+Feb!AM19+Mar!AM19+Apr!AM19+May!AM19+Jun!AM19+Jul!AM19+Aug!AM19+Sep!AM19+Oct!AM19+Nov!AM19+Dec!AM19)</f>
        <v/>
      </c>
      <c r="J46" s="70">
        <f>IF($A46="","",Jan!AN19+Feb!AN19+Mar!AN19+Apr!AN19+May!AN19+Jun!AN19+Jul!AN19+Aug!AN19+Sep!AN19+Oct!AN19+Nov!AN19+Dec!AN19)</f>
        <v/>
      </c>
      <c r="K46" s="70">
        <f>IF($A46="","",Jan!AO19+Feb!AO19+Mar!AO19+Apr!AO19+May!AO19+Jun!AO19+Jul!AO19+Aug!AO19+Sep!AO19+Oct!AO19+Nov!AO19+Dec!AO19)</f>
        <v/>
      </c>
      <c r="L46" s="70">
        <f>IF($A46="","",Jan!AP19+Feb!AP19+Mar!AP19+Apr!AP19+May!AP19+Jun!AP19+Jul!AP19+Aug!AP19+Sep!AP19+Oct!AP19+Nov!AP19+Dec!AP19)</f>
        <v/>
      </c>
      <c r="M46" s="90">
        <f>IF(OR($A46="",$D46=0),"",$E46/$D46)</f>
        <v/>
      </c>
      <c r="N46" s="90">
        <f>IF(OR($A46="",$D46=0),"",($E46+$F46)/$D46)</f>
        <v/>
      </c>
      <c r="O46" s="70">
        <f>IF($A46="","",IF(Jan!AU19="",0,IF(Jan!AU19&lt;&gt;"OK",1,0))+IF(Feb!AU19="",0,IF(Feb!AU19&lt;&gt;"OK",1,0))+IF(Mar!AU19="",0,IF(Mar!AU19&lt;&gt;"OK",1,0))+IF(Apr!AU19="",0,IF(Apr!AU19&lt;&gt;"OK",1,0))+IF(May!AU19="",0,IF(May!AU19&lt;&gt;"OK",1,0))+IF(Jun!AU19="",0,IF(Jun!AU19&lt;&gt;"OK",1,0))+IF(Jul!AU19="",0,IF(Jul!AU19&lt;&gt;"OK",1,0))+IF(Aug!AU19="",0,IF(Aug!AU19&lt;&gt;"OK",1,0))+IF(Sep!AU19="",0,IF(Sep!AU19&lt;&gt;"OK",1,0))+IF(Oct!AU19="",0,IF(Oct!AU19&lt;&gt;"OK",1,0))+IF(Nov!AU19="",0,IF(Nov!AU19&lt;&gt;"OK",1,0))+IF(Dec!AU19="",0,IF(Dec!AU19&lt;&gt;"OK",1,0)))</f>
        <v/>
      </c>
      <c r="P46" s="70">
        <f>IF($A46="","",IF(OR(Jan!AU19="CRITICAL",Feb!AU19="CRITICAL",Mar!AU19="CRITICAL",Apr!AU19="CRITICAL",May!AU19="CRITICAL",Jun!AU19="CRITICAL",Jul!AU19="CRITICAL",Aug!AU19="CRITICAL",Sep!AU19="CRITICAL",Oct!AU19="CRITICAL",Nov!AU19="CRITICAL",Dec!AU19="CRITICAL",$G46&gt;=2),"CRITICAL",IF(OR($G46&gt;0,$O46&gt;0,$N46&lt;0.95),"REVIEW","OK")))</f>
        <v/>
      </c>
    </row>
    <row r="47" ht="18" customHeight="1" s="57">
      <c r="A47" s="70">
        <f>IF('Employee Master'!A20="","",'Employee Master'!A20)</f>
        <v/>
      </c>
      <c r="B47" s="63">
        <f>IF($A47="","",'Employee Master'!B20)</f>
        <v/>
      </c>
      <c r="C47" s="70">
        <f>IF($A47="","",'Employee Master'!C20)</f>
        <v/>
      </c>
      <c r="D47" s="70">
        <f>IF($A47="","",$B$5)</f>
        <v/>
      </c>
      <c r="E47" s="70">
        <f>IF($A47="","",Jan!AI20+Feb!AI20+Mar!AI20+Apr!AI20+May!AI20+Jun!AI20+Jul!AI20+Aug!AI20+Sep!AI20+Oct!AI20+Nov!AI20+Dec!AI20)</f>
        <v/>
      </c>
      <c r="F47" s="70">
        <f>IF($A47="","",Jan!AJ20+Feb!AJ20+Mar!AJ20+Apr!AJ20+May!AJ20+Jun!AJ20+Jul!AJ20+Aug!AJ20+Sep!AJ20+Oct!AJ20+Nov!AJ20+Dec!AJ20)</f>
        <v/>
      </c>
      <c r="G47" s="70">
        <f>IF($A47="","",Jan!AK20+Feb!AK20+Mar!AK20+Apr!AK20+May!AK20+Jun!AK20+Jul!AK20+Aug!AK20+Sep!AK20+Oct!AK20+Nov!AK20+Dec!AK20)</f>
        <v/>
      </c>
      <c r="H47" s="70">
        <f>IF($A47="","",Jan!AL20+Feb!AL20+Mar!AL20+Apr!AL20+May!AL20+Jun!AL20+Jul!AL20+Aug!AL20+Sep!AL20+Oct!AL20+Nov!AL20+Dec!AL20)</f>
        <v/>
      </c>
      <c r="I47" s="70">
        <f>IF($A47="","",Jan!AM20+Feb!AM20+Mar!AM20+Apr!AM20+May!AM20+Jun!AM20+Jul!AM20+Aug!AM20+Sep!AM20+Oct!AM20+Nov!AM20+Dec!AM20)</f>
        <v/>
      </c>
      <c r="J47" s="70">
        <f>IF($A47="","",Jan!AN20+Feb!AN20+Mar!AN20+Apr!AN20+May!AN20+Jun!AN20+Jul!AN20+Aug!AN20+Sep!AN20+Oct!AN20+Nov!AN20+Dec!AN20)</f>
        <v/>
      </c>
      <c r="K47" s="70">
        <f>IF($A47="","",Jan!AO20+Feb!AO20+Mar!AO20+Apr!AO20+May!AO20+Jun!AO20+Jul!AO20+Aug!AO20+Sep!AO20+Oct!AO20+Nov!AO20+Dec!AO20)</f>
        <v/>
      </c>
      <c r="L47" s="70">
        <f>IF($A47="","",Jan!AP20+Feb!AP20+Mar!AP20+Apr!AP20+May!AP20+Jun!AP20+Jul!AP20+Aug!AP20+Sep!AP20+Oct!AP20+Nov!AP20+Dec!AP20)</f>
        <v/>
      </c>
      <c r="M47" s="90">
        <f>IF(OR($A47="",$D47=0),"",$E47/$D47)</f>
        <v/>
      </c>
      <c r="N47" s="90">
        <f>IF(OR($A47="",$D47=0),"",($E47+$F47)/$D47)</f>
        <v/>
      </c>
      <c r="O47" s="70">
        <f>IF($A47="","",IF(Jan!AU20="",0,IF(Jan!AU20&lt;&gt;"OK",1,0))+IF(Feb!AU20="",0,IF(Feb!AU20&lt;&gt;"OK",1,0))+IF(Mar!AU20="",0,IF(Mar!AU20&lt;&gt;"OK",1,0))+IF(Apr!AU20="",0,IF(Apr!AU20&lt;&gt;"OK",1,0))+IF(May!AU20="",0,IF(May!AU20&lt;&gt;"OK",1,0))+IF(Jun!AU20="",0,IF(Jun!AU20&lt;&gt;"OK",1,0))+IF(Jul!AU20="",0,IF(Jul!AU20&lt;&gt;"OK",1,0))+IF(Aug!AU20="",0,IF(Aug!AU20&lt;&gt;"OK",1,0))+IF(Sep!AU20="",0,IF(Sep!AU20&lt;&gt;"OK",1,0))+IF(Oct!AU20="",0,IF(Oct!AU20&lt;&gt;"OK",1,0))+IF(Nov!AU20="",0,IF(Nov!AU20&lt;&gt;"OK",1,0))+IF(Dec!AU20="",0,IF(Dec!AU20&lt;&gt;"OK",1,0)))</f>
        <v/>
      </c>
      <c r="P47" s="70">
        <f>IF($A47="","",IF(OR(Jan!AU20="CRITICAL",Feb!AU20="CRITICAL",Mar!AU20="CRITICAL",Apr!AU20="CRITICAL",May!AU20="CRITICAL",Jun!AU20="CRITICAL",Jul!AU20="CRITICAL",Aug!AU20="CRITICAL",Sep!AU20="CRITICAL",Oct!AU20="CRITICAL",Nov!AU20="CRITICAL",Dec!AU20="CRITICAL",$G47&gt;=2),"CRITICAL",IF(OR($G47&gt;0,$O47&gt;0,$N47&lt;0.95),"REVIEW","OK")))</f>
        <v/>
      </c>
    </row>
    <row r="48" ht="18" customHeight="1" s="57">
      <c r="A48" s="70">
        <f>IF('Employee Master'!A21="","",'Employee Master'!A21)</f>
        <v/>
      </c>
      <c r="B48" s="63">
        <f>IF($A48="","",'Employee Master'!B21)</f>
        <v/>
      </c>
      <c r="C48" s="70">
        <f>IF($A48="","",'Employee Master'!C21)</f>
        <v/>
      </c>
      <c r="D48" s="70">
        <f>IF($A48="","",$B$5)</f>
        <v/>
      </c>
      <c r="E48" s="70">
        <f>IF($A48="","",Jan!AI21+Feb!AI21+Mar!AI21+Apr!AI21+May!AI21+Jun!AI21+Jul!AI21+Aug!AI21+Sep!AI21+Oct!AI21+Nov!AI21+Dec!AI21)</f>
        <v/>
      </c>
      <c r="F48" s="70">
        <f>IF($A48="","",Jan!AJ21+Feb!AJ21+Mar!AJ21+Apr!AJ21+May!AJ21+Jun!AJ21+Jul!AJ21+Aug!AJ21+Sep!AJ21+Oct!AJ21+Nov!AJ21+Dec!AJ21)</f>
        <v/>
      </c>
      <c r="G48" s="70">
        <f>IF($A48="","",Jan!AK21+Feb!AK21+Mar!AK21+Apr!AK21+May!AK21+Jun!AK21+Jul!AK21+Aug!AK21+Sep!AK21+Oct!AK21+Nov!AK21+Dec!AK21)</f>
        <v/>
      </c>
      <c r="H48" s="70">
        <f>IF($A48="","",Jan!AL21+Feb!AL21+Mar!AL21+Apr!AL21+May!AL21+Jun!AL21+Jul!AL21+Aug!AL21+Sep!AL21+Oct!AL21+Nov!AL21+Dec!AL21)</f>
        <v/>
      </c>
      <c r="I48" s="70">
        <f>IF($A48="","",Jan!AM21+Feb!AM21+Mar!AM21+Apr!AM21+May!AM21+Jun!AM21+Jul!AM21+Aug!AM21+Sep!AM21+Oct!AM21+Nov!AM21+Dec!AM21)</f>
        <v/>
      </c>
      <c r="J48" s="70">
        <f>IF($A48="","",Jan!AN21+Feb!AN21+Mar!AN21+Apr!AN21+May!AN21+Jun!AN21+Jul!AN21+Aug!AN21+Sep!AN21+Oct!AN21+Nov!AN21+Dec!AN21)</f>
        <v/>
      </c>
      <c r="K48" s="70">
        <f>IF($A48="","",Jan!AO21+Feb!AO21+Mar!AO21+Apr!AO21+May!AO21+Jun!AO21+Jul!AO21+Aug!AO21+Sep!AO21+Oct!AO21+Nov!AO21+Dec!AO21)</f>
        <v/>
      </c>
      <c r="L48" s="70">
        <f>IF($A48="","",Jan!AP21+Feb!AP21+Mar!AP21+Apr!AP21+May!AP21+Jun!AP21+Jul!AP21+Aug!AP21+Sep!AP21+Oct!AP21+Nov!AP21+Dec!AP21)</f>
        <v/>
      </c>
      <c r="M48" s="90">
        <f>IF(OR($A48="",$D48=0),"",$E48/$D48)</f>
        <v/>
      </c>
      <c r="N48" s="90">
        <f>IF(OR($A48="",$D48=0),"",($E48+$F48)/$D48)</f>
        <v/>
      </c>
      <c r="O48" s="70">
        <f>IF($A48="","",IF(Jan!AU21="",0,IF(Jan!AU21&lt;&gt;"OK",1,0))+IF(Feb!AU21="",0,IF(Feb!AU21&lt;&gt;"OK",1,0))+IF(Mar!AU21="",0,IF(Mar!AU21&lt;&gt;"OK",1,0))+IF(Apr!AU21="",0,IF(Apr!AU21&lt;&gt;"OK",1,0))+IF(May!AU21="",0,IF(May!AU21&lt;&gt;"OK",1,0))+IF(Jun!AU21="",0,IF(Jun!AU21&lt;&gt;"OK",1,0))+IF(Jul!AU21="",0,IF(Jul!AU21&lt;&gt;"OK",1,0))+IF(Aug!AU21="",0,IF(Aug!AU21&lt;&gt;"OK",1,0))+IF(Sep!AU21="",0,IF(Sep!AU21&lt;&gt;"OK",1,0))+IF(Oct!AU21="",0,IF(Oct!AU21&lt;&gt;"OK",1,0))+IF(Nov!AU21="",0,IF(Nov!AU21&lt;&gt;"OK",1,0))+IF(Dec!AU21="",0,IF(Dec!AU21&lt;&gt;"OK",1,0)))</f>
        <v/>
      </c>
      <c r="P48" s="70">
        <f>IF($A48="","",IF(OR(Jan!AU21="CRITICAL",Feb!AU21="CRITICAL",Mar!AU21="CRITICAL",Apr!AU21="CRITICAL",May!AU21="CRITICAL",Jun!AU21="CRITICAL",Jul!AU21="CRITICAL",Aug!AU21="CRITICAL",Sep!AU21="CRITICAL",Oct!AU21="CRITICAL",Nov!AU21="CRITICAL",Dec!AU21="CRITICAL",$G48&gt;=2),"CRITICAL",IF(OR($G48&gt;0,$O48&gt;0,$N48&lt;0.95),"REVIEW","OK")))</f>
        <v/>
      </c>
    </row>
    <row r="49" ht="18" customHeight="1" s="57">
      <c r="A49" s="70">
        <f>IF('Employee Master'!A22="","",'Employee Master'!A22)</f>
        <v/>
      </c>
      <c r="B49" s="63">
        <f>IF($A49="","",'Employee Master'!B22)</f>
        <v/>
      </c>
      <c r="C49" s="70">
        <f>IF($A49="","",'Employee Master'!C22)</f>
        <v/>
      </c>
      <c r="D49" s="70">
        <f>IF($A49="","",$B$5)</f>
        <v/>
      </c>
      <c r="E49" s="70">
        <f>IF($A49="","",Jan!AI22+Feb!AI22+Mar!AI22+Apr!AI22+May!AI22+Jun!AI22+Jul!AI22+Aug!AI22+Sep!AI22+Oct!AI22+Nov!AI22+Dec!AI22)</f>
        <v/>
      </c>
      <c r="F49" s="70">
        <f>IF($A49="","",Jan!AJ22+Feb!AJ22+Mar!AJ22+Apr!AJ22+May!AJ22+Jun!AJ22+Jul!AJ22+Aug!AJ22+Sep!AJ22+Oct!AJ22+Nov!AJ22+Dec!AJ22)</f>
        <v/>
      </c>
      <c r="G49" s="70">
        <f>IF($A49="","",Jan!AK22+Feb!AK22+Mar!AK22+Apr!AK22+May!AK22+Jun!AK22+Jul!AK22+Aug!AK22+Sep!AK22+Oct!AK22+Nov!AK22+Dec!AK22)</f>
        <v/>
      </c>
      <c r="H49" s="70">
        <f>IF($A49="","",Jan!AL22+Feb!AL22+Mar!AL22+Apr!AL22+May!AL22+Jun!AL22+Jul!AL22+Aug!AL22+Sep!AL22+Oct!AL22+Nov!AL22+Dec!AL22)</f>
        <v/>
      </c>
      <c r="I49" s="70">
        <f>IF($A49="","",Jan!AM22+Feb!AM22+Mar!AM22+Apr!AM22+May!AM22+Jun!AM22+Jul!AM22+Aug!AM22+Sep!AM22+Oct!AM22+Nov!AM22+Dec!AM22)</f>
        <v/>
      </c>
      <c r="J49" s="70">
        <f>IF($A49="","",Jan!AN22+Feb!AN22+Mar!AN22+Apr!AN22+May!AN22+Jun!AN22+Jul!AN22+Aug!AN22+Sep!AN22+Oct!AN22+Nov!AN22+Dec!AN22)</f>
        <v/>
      </c>
      <c r="K49" s="70">
        <f>IF($A49="","",Jan!AO22+Feb!AO22+Mar!AO22+Apr!AO22+May!AO22+Jun!AO22+Jul!AO22+Aug!AO22+Sep!AO22+Oct!AO22+Nov!AO22+Dec!AO22)</f>
        <v/>
      </c>
      <c r="L49" s="70">
        <f>IF($A49="","",Jan!AP22+Feb!AP22+Mar!AP22+Apr!AP22+May!AP22+Jun!AP22+Jul!AP22+Aug!AP22+Sep!AP22+Oct!AP22+Nov!AP22+Dec!AP22)</f>
        <v/>
      </c>
      <c r="M49" s="90">
        <f>IF(OR($A49="",$D49=0),"",$E49/$D49)</f>
        <v/>
      </c>
      <c r="N49" s="90">
        <f>IF(OR($A49="",$D49=0),"",($E49+$F49)/$D49)</f>
        <v/>
      </c>
      <c r="O49" s="70">
        <f>IF($A49="","",IF(Jan!AU22="",0,IF(Jan!AU22&lt;&gt;"OK",1,0))+IF(Feb!AU22="",0,IF(Feb!AU22&lt;&gt;"OK",1,0))+IF(Mar!AU22="",0,IF(Mar!AU22&lt;&gt;"OK",1,0))+IF(Apr!AU22="",0,IF(Apr!AU22&lt;&gt;"OK",1,0))+IF(May!AU22="",0,IF(May!AU22&lt;&gt;"OK",1,0))+IF(Jun!AU22="",0,IF(Jun!AU22&lt;&gt;"OK",1,0))+IF(Jul!AU22="",0,IF(Jul!AU22&lt;&gt;"OK",1,0))+IF(Aug!AU22="",0,IF(Aug!AU22&lt;&gt;"OK",1,0))+IF(Sep!AU22="",0,IF(Sep!AU22&lt;&gt;"OK",1,0))+IF(Oct!AU22="",0,IF(Oct!AU22&lt;&gt;"OK",1,0))+IF(Nov!AU22="",0,IF(Nov!AU22&lt;&gt;"OK",1,0))+IF(Dec!AU22="",0,IF(Dec!AU22&lt;&gt;"OK",1,0)))</f>
        <v/>
      </c>
      <c r="P49" s="70">
        <f>IF($A49="","",IF(OR(Jan!AU22="CRITICAL",Feb!AU22="CRITICAL",Mar!AU22="CRITICAL",Apr!AU22="CRITICAL",May!AU22="CRITICAL",Jun!AU22="CRITICAL",Jul!AU22="CRITICAL",Aug!AU22="CRITICAL",Sep!AU22="CRITICAL",Oct!AU22="CRITICAL",Nov!AU22="CRITICAL",Dec!AU22="CRITICAL",$G49&gt;=2),"CRITICAL",IF(OR($G49&gt;0,$O49&gt;0,$N49&lt;0.95),"REVIEW","OK")))</f>
        <v/>
      </c>
    </row>
    <row r="50" ht="18" customHeight="1" s="57">
      <c r="A50" s="70">
        <f>IF('Employee Master'!A23="","",'Employee Master'!A23)</f>
        <v/>
      </c>
      <c r="B50" s="63">
        <f>IF($A50="","",'Employee Master'!B23)</f>
        <v/>
      </c>
      <c r="C50" s="70">
        <f>IF($A50="","",'Employee Master'!C23)</f>
        <v/>
      </c>
      <c r="D50" s="70">
        <f>IF($A50="","",$B$5)</f>
        <v/>
      </c>
      <c r="E50" s="70">
        <f>IF($A50="","",Jan!AI23+Feb!AI23+Mar!AI23+Apr!AI23+May!AI23+Jun!AI23+Jul!AI23+Aug!AI23+Sep!AI23+Oct!AI23+Nov!AI23+Dec!AI23)</f>
        <v/>
      </c>
      <c r="F50" s="70">
        <f>IF($A50="","",Jan!AJ23+Feb!AJ23+Mar!AJ23+Apr!AJ23+May!AJ23+Jun!AJ23+Jul!AJ23+Aug!AJ23+Sep!AJ23+Oct!AJ23+Nov!AJ23+Dec!AJ23)</f>
        <v/>
      </c>
      <c r="G50" s="70">
        <f>IF($A50="","",Jan!AK23+Feb!AK23+Mar!AK23+Apr!AK23+May!AK23+Jun!AK23+Jul!AK23+Aug!AK23+Sep!AK23+Oct!AK23+Nov!AK23+Dec!AK23)</f>
        <v/>
      </c>
      <c r="H50" s="70">
        <f>IF($A50="","",Jan!AL23+Feb!AL23+Mar!AL23+Apr!AL23+May!AL23+Jun!AL23+Jul!AL23+Aug!AL23+Sep!AL23+Oct!AL23+Nov!AL23+Dec!AL23)</f>
        <v/>
      </c>
      <c r="I50" s="70">
        <f>IF($A50="","",Jan!AM23+Feb!AM23+Mar!AM23+Apr!AM23+May!AM23+Jun!AM23+Jul!AM23+Aug!AM23+Sep!AM23+Oct!AM23+Nov!AM23+Dec!AM23)</f>
        <v/>
      </c>
      <c r="J50" s="70">
        <f>IF($A50="","",Jan!AN23+Feb!AN23+Mar!AN23+Apr!AN23+May!AN23+Jun!AN23+Jul!AN23+Aug!AN23+Sep!AN23+Oct!AN23+Nov!AN23+Dec!AN23)</f>
        <v/>
      </c>
      <c r="K50" s="70">
        <f>IF($A50="","",Jan!AO23+Feb!AO23+Mar!AO23+Apr!AO23+May!AO23+Jun!AO23+Jul!AO23+Aug!AO23+Sep!AO23+Oct!AO23+Nov!AO23+Dec!AO23)</f>
        <v/>
      </c>
      <c r="L50" s="70">
        <f>IF($A50="","",Jan!AP23+Feb!AP23+Mar!AP23+Apr!AP23+May!AP23+Jun!AP23+Jul!AP23+Aug!AP23+Sep!AP23+Oct!AP23+Nov!AP23+Dec!AP23)</f>
        <v/>
      </c>
      <c r="M50" s="90">
        <f>IF(OR($A50="",$D50=0),"",$E50/$D50)</f>
        <v/>
      </c>
      <c r="N50" s="90">
        <f>IF(OR($A50="",$D50=0),"",($E50+$F50)/$D50)</f>
        <v/>
      </c>
      <c r="O50" s="70">
        <f>IF($A50="","",IF(Jan!AU23="",0,IF(Jan!AU23&lt;&gt;"OK",1,0))+IF(Feb!AU23="",0,IF(Feb!AU23&lt;&gt;"OK",1,0))+IF(Mar!AU23="",0,IF(Mar!AU23&lt;&gt;"OK",1,0))+IF(Apr!AU23="",0,IF(Apr!AU23&lt;&gt;"OK",1,0))+IF(May!AU23="",0,IF(May!AU23&lt;&gt;"OK",1,0))+IF(Jun!AU23="",0,IF(Jun!AU23&lt;&gt;"OK",1,0))+IF(Jul!AU23="",0,IF(Jul!AU23&lt;&gt;"OK",1,0))+IF(Aug!AU23="",0,IF(Aug!AU23&lt;&gt;"OK",1,0))+IF(Sep!AU23="",0,IF(Sep!AU23&lt;&gt;"OK",1,0))+IF(Oct!AU23="",0,IF(Oct!AU23&lt;&gt;"OK",1,0))+IF(Nov!AU23="",0,IF(Nov!AU23&lt;&gt;"OK",1,0))+IF(Dec!AU23="",0,IF(Dec!AU23&lt;&gt;"OK",1,0)))</f>
        <v/>
      </c>
      <c r="P50" s="70">
        <f>IF($A50="","",IF(OR(Jan!AU23="CRITICAL",Feb!AU23="CRITICAL",Mar!AU23="CRITICAL",Apr!AU23="CRITICAL",May!AU23="CRITICAL",Jun!AU23="CRITICAL",Jul!AU23="CRITICAL",Aug!AU23="CRITICAL",Sep!AU23="CRITICAL",Oct!AU23="CRITICAL",Nov!AU23="CRITICAL",Dec!AU23="CRITICAL",$G50&gt;=2),"CRITICAL",IF(OR($G50&gt;0,$O50&gt;0,$N50&lt;0.95),"REVIEW","OK")))</f>
        <v/>
      </c>
    </row>
    <row r="51" ht="18" customHeight="1" s="57">
      <c r="A51" s="70">
        <f>IF('Employee Master'!A24="","",'Employee Master'!A24)</f>
        <v/>
      </c>
      <c r="B51" s="63">
        <f>IF($A51="","",'Employee Master'!B24)</f>
        <v/>
      </c>
      <c r="C51" s="70">
        <f>IF($A51="","",'Employee Master'!C24)</f>
        <v/>
      </c>
      <c r="D51" s="70">
        <f>IF($A51="","",$B$5)</f>
        <v/>
      </c>
      <c r="E51" s="70">
        <f>IF($A51="","",Jan!AI24+Feb!AI24+Mar!AI24+Apr!AI24+May!AI24+Jun!AI24+Jul!AI24+Aug!AI24+Sep!AI24+Oct!AI24+Nov!AI24+Dec!AI24)</f>
        <v/>
      </c>
      <c r="F51" s="70">
        <f>IF($A51="","",Jan!AJ24+Feb!AJ24+Mar!AJ24+Apr!AJ24+May!AJ24+Jun!AJ24+Jul!AJ24+Aug!AJ24+Sep!AJ24+Oct!AJ24+Nov!AJ24+Dec!AJ24)</f>
        <v/>
      </c>
      <c r="G51" s="70">
        <f>IF($A51="","",Jan!AK24+Feb!AK24+Mar!AK24+Apr!AK24+May!AK24+Jun!AK24+Jul!AK24+Aug!AK24+Sep!AK24+Oct!AK24+Nov!AK24+Dec!AK24)</f>
        <v/>
      </c>
      <c r="H51" s="70">
        <f>IF($A51="","",Jan!AL24+Feb!AL24+Mar!AL24+Apr!AL24+May!AL24+Jun!AL24+Jul!AL24+Aug!AL24+Sep!AL24+Oct!AL24+Nov!AL24+Dec!AL24)</f>
        <v/>
      </c>
      <c r="I51" s="70">
        <f>IF($A51="","",Jan!AM24+Feb!AM24+Mar!AM24+Apr!AM24+May!AM24+Jun!AM24+Jul!AM24+Aug!AM24+Sep!AM24+Oct!AM24+Nov!AM24+Dec!AM24)</f>
        <v/>
      </c>
      <c r="J51" s="70">
        <f>IF($A51="","",Jan!AN24+Feb!AN24+Mar!AN24+Apr!AN24+May!AN24+Jun!AN24+Jul!AN24+Aug!AN24+Sep!AN24+Oct!AN24+Nov!AN24+Dec!AN24)</f>
        <v/>
      </c>
      <c r="K51" s="70">
        <f>IF($A51="","",Jan!AO24+Feb!AO24+Mar!AO24+Apr!AO24+May!AO24+Jun!AO24+Jul!AO24+Aug!AO24+Sep!AO24+Oct!AO24+Nov!AO24+Dec!AO24)</f>
        <v/>
      </c>
      <c r="L51" s="70">
        <f>IF($A51="","",Jan!AP24+Feb!AP24+Mar!AP24+Apr!AP24+May!AP24+Jun!AP24+Jul!AP24+Aug!AP24+Sep!AP24+Oct!AP24+Nov!AP24+Dec!AP24)</f>
        <v/>
      </c>
      <c r="M51" s="90">
        <f>IF(OR($A51="",$D51=0),"",$E51/$D51)</f>
        <v/>
      </c>
      <c r="N51" s="90">
        <f>IF(OR($A51="",$D51=0),"",($E51+$F51)/$D51)</f>
        <v/>
      </c>
      <c r="O51" s="70">
        <f>IF($A51="","",IF(Jan!AU24="",0,IF(Jan!AU24&lt;&gt;"OK",1,0))+IF(Feb!AU24="",0,IF(Feb!AU24&lt;&gt;"OK",1,0))+IF(Mar!AU24="",0,IF(Mar!AU24&lt;&gt;"OK",1,0))+IF(Apr!AU24="",0,IF(Apr!AU24&lt;&gt;"OK",1,0))+IF(May!AU24="",0,IF(May!AU24&lt;&gt;"OK",1,0))+IF(Jun!AU24="",0,IF(Jun!AU24&lt;&gt;"OK",1,0))+IF(Jul!AU24="",0,IF(Jul!AU24&lt;&gt;"OK",1,0))+IF(Aug!AU24="",0,IF(Aug!AU24&lt;&gt;"OK",1,0))+IF(Sep!AU24="",0,IF(Sep!AU24&lt;&gt;"OK",1,0))+IF(Oct!AU24="",0,IF(Oct!AU24&lt;&gt;"OK",1,0))+IF(Nov!AU24="",0,IF(Nov!AU24&lt;&gt;"OK",1,0))+IF(Dec!AU24="",0,IF(Dec!AU24&lt;&gt;"OK",1,0)))</f>
        <v/>
      </c>
      <c r="P51" s="70">
        <f>IF($A51="","",IF(OR(Jan!AU24="CRITICAL",Feb!AU24="CRITICAL",Mar!AU24="CRITICAL",Apr!AU24="CRITICAL",May!AU24="CRITICAL",Jun!AU24="CRITICAL",Jul!AU24="CRITICAL",Aug!AU24="CRITICAL",Sep!AU24="CRITICAL",Oct!AU24="CRITICAL",Nov!AU24="CRITICAL",Dec!AU24="CRITICAL",$G51&gt;=2),"CRITICAL",IF(OR($G51&gt;0,$O51&gt;0,$N51&lt;0.95),"REVIEW","OK")))</f>
        <v/>
      </c>
    </row>
    <row r="52" ht="18" customHeight="1" s="57">
      <c r="A52" s="70">
        <f>IF('Employee Master'!A25="","",'Employee Master'!A25)</f>
        <v/>
      </c>
      <c r="B52" s="63">
        <f>IF($A52="","",'Employee Master'!B25)</f>
        <v/>
      </c>
      <c r="C52" s="70">
        <f>IF($A52="","",'Employee Master'!C25)</f>
        <v/>
      </c>
      <c r="D52" s="70">
        <f>IF($A52="","",$B$5)</f>
        <v/>
      </c>
      <c r="E52" s="70">
        <f>IF($A52="","",Jan!AI25+Feb!AI25+Mar!AI25+Apr!AI25+May!AI25+Jun!AI25+Jul!AI25+Aug!AI25+Sep!AI25+Oct!AI25+Nov!AI25+Dec!AI25)</f>
        <v/>
      </c>
      <c r="F52" s="70">
        <f>IF($A52="","",Jan!AJ25+Feb!AJ25+Mar!AJ25+Apr!AJ25+May!AJ25+Jun!AJ25+Jul!AJ25+Aug!AJ25+Sep!AJ25+Oct!AJ25+Nov!AJ25+Dec!AJ25)</f>
        <v/>
      </c>
      <c r="G52" s="70">
        <f>IF($A52="","",Jan!AK25+Feb!AK25+Mar!AK25+Apr!AK25+May!AK25+Jun!AK25+Jul!AK25+Aug!AK25+Sep!AK25+Oct!AK25+Nov!AK25+Dec!AK25)</f>
        <v/>
      </c>
      <c r="H52" s="70">
        <f>IF($A52="","",Jan!AL25+Feb!AL25+Mar!AL25+Apr!AL25+May!AL25+Jun!AL25+Jul!AL25+Aug!AL25+Sep!AL25+Oct!AL25+Nov!AL25+Dec!AL25)</f>
        <v/>
      </c>
      <c r="I52" s="70">
        <f>IF($A52="","",Jan!AM25+Feb!AM25+Mar!AM25+Apr!AM25+May!AM25+Jun!AM25+Jul!AM25+Aug!AM25+Sep!AM25+Oct!AM25+Nov!AM25+Dec!AM25)</f>
        <v/>
      </c>
      <c r="J52" s="70">
        <f>IF($A52="","",Jan!AN25+Feb!AN25+Mar!AN25+Apr!AN25+May!AN25+Jun!AN25+Jul!AN25+Aug!AN25+Sep!AN25+Oct!AN25+Nov!AN25+Dec!AN25)</f>
        <v/>
      </c>
      <c r="K52" s="70">
        <f>IF($A52="","",Jan!AO25+Feb!AO25+Mar!AO25+Apr!AO25+May!AO25+Jun!AO25+Jul!AO25+Aug!AO25+Sep!AO25+Oct!AO25+Nov!AO25+Dec!AO25)</f>
        <v/>
      </c>
      <c r="L52" s="70">
        <f>IF($A52="","",Jan!AP25+Feb!AP25+Mar!AP25+Apr!AP25+May!AP25+Jun!AP25+Jul!AP25+Aug!AP25+Sep!AP25+Oct!AP25+Nov!AP25+Dec!AP25)</f>
        <v/>
      </c>
      <c r="M52" s="90">
        <f>IF(OR($A52="",$D52=0),"",$E52/$D52)</f>
        <v/>
      </c>
      <c r="N52" s="90">
        <f>IF(OR($A52="",$D52=0),"",($E52+$F52)/$D52)</f>
        <v/>
      </c>
      <c r="O52" s="70">
        <f>IF($A52="","",IF(Jan!AU25="",0,IF(Jan!AU25&lt;&gt;"OK",1,0))+IF(Feb!AU25="",0,IF(Feb!AU25&lt;&gt;"OK",1,0))+IF(Mar!AU25="",0,IF(Mar!AU25&lt;&gt;"OK",1,0))+IF(Apr!AU25="",0,IF(Apr!AU25&lt;&gt;"OK",1,0))+IF(May!AU25="",0,IF(May!AU25&lt;&gt;"OK",1,0))+IF(Jun!AU25="",0,IF(Jun!AU25&lt;&gt;"OK",1,0))+IF(Jul!AU25="",0,IF(Jul!AU25&lt;&gt;"OK",1,0))+IF(Aug!AU25="",0,IF(Aug!AU25&lt;&gt;"OK",1,0))+IF(Sep!AU25="",0,IF(Sep!AU25&lt;&gt;"OK",1,0))+IF(Oct!AU25="",0,IF(Oct!AU25&lt;&gt;"OK",1,0))+IF(Nov!AU25="",0,IF(Nov!AU25&lt;&gt;"OK",1,0))+IF(Dec!AU25="",0,IF(Dec!AU25&lt;&gt;"OK",1,0)))</f>
        <v/>
      </c>
      <c r="P52" s="70">
        <f>IF($A52="","",IF(OR(Jan!AU25="CRITICAL",Feb!AU25="CRITICAL",Mar!AU25="CRITICAL",Apr!AU25="CRITICAL",May!AU25="CRITICAL",Jun!AU25="CRITICAL",Jul!AU25="CRITICAL",Aug!AU25="CRITICAL",Sep!AU25="CRITICAL",Oct!AU25="CRITICAL",Nov!AU25="CRITICAL",Dec!AU25="CRITICAL",$G52&gt;=2),"CRITICAL",IF(OR($G52&gt;0,$O52&gt;0,$N52&lt;0.95),"REVIEW","OK")))</f>
        <v/>
      </c>
    </row>
    <row r="53" ht="18" customHeight="1" s="57">
      <c r="A53" s="70">
        <f>IF('Employee Master'!A26="","",'Employee Master'!A26)</f>
        <v/>
      </c>
      <c r="B53" s="63">
        <f>IF($A53="","",'Employee Master'!B26)</f>
        <v/>
      </c>
      <c r="C53" s="70">
        <f>IF($A53="","",'Employee Master'!C26)</f>
        <v/>
      </c>
      <c r="D53" s="70">
        <f>IF($A53="","",$B$5)</f>
        <v/>
      </c>
      <c r="E53" s="70">
        <f>IF($A53="","",Jan!AI26+Feb!AI26+Mar!AI26+Apr!AI26+May!AI26+Jun!AI26+Jul!AI26+Aug!AI26+Sep!AI26+Oct!AI26+Nov!AI26+Dec!AI26)</f>
        <v/>
      </c>
      <c r="F53" s="70">
        <f>IF($A53="","",Jan!AJ26+Feb!AJ26+Mar!AJ26+Apr!AJ26+May!AJ26+Jun!AJ26+Jul!AJ26+Aug!AJ26+Sep!AJ26+Oct!AJ26+Nov!AJ26+Dec!AJ26)</f>
        <v/>
      </c>
      <c r="G53" s="70">
        <f>IF($A53="","",Jan!AK26+Feb!AK26+Mar!AK26+Apr!AK26+May!AK26+Jun!AK26+Jul!AK26+Aug!AK26+Sep!AK26+Oct!AK26+Nov!AK26+Dec!AK26)</f>
        <v/>
      </c>
      <c r="H53" s="70">
        <f>IF($A53="","",Jan!AL26+Feb!AL26+Mar!AL26+Apr!AL26+May!AL26+Jun!AL26+Jul!AL26+Aug!AL26+Sep!AL26+Oct!AL26+Nov!AL26+Dec!AL26)</f>
        <v/>
      </c>
      <c r="I53" s="70">
        <f>IF($A53="","",Jan!AM26+Feb!AM26+Mar!AM26+Apr!AM26+May!AM26+Jun!AM26+Jul!AM26+Aug!AM26+Sep!AM26+Oct!AM26+Nov!AM26+Dec!AM26)</f>
        <v/>
      </c>
      <c r="J53" s="70">
        <f>IF($A53="","",Jan!AN26+Feb!AN26+Mar!AN26+Apr!AN26+May!AN26+Jun!AN26+Jul!AN26+Aug!AN26+Sep!AN26+Oct!AN26+Nov!AN26+Dec!AN26)</f>
        <v/>
      </c>
      <c r="K53" s="70">
        <f>IF($A53="","",Jan!AO26+Feb!AO26+Mar!AO26+Apr!AO26+May!AO26+Jun!AO26+Jul!AO26+Aug!AO26+Sep!AO26+Oct!AO26+Nov!AO26+Dec!AO26)</f>
        <v/>
      </c>
      <c r="L53" s="70">
        <f>IF($A53="","",Jan!AP26+Feb!AP26+Mar!AP26+Apr!AP26+May!AP26+Jun!AP26+Jul!AP26+Aug!AP26+Sep!AP26+Oct!AP26+Nov!AP26+Dec!AP26)</f>
        <v/>
      </c>
      <c r="M53" s="90">
        <f>IF(OR($A53="",$D53=0),"",$E53/$D53)</f>
        <v/>
      </c>
      <c r="N53" s="90">
        <f>IF(OR($A53="",$D53=0),"",($E53+$F53)/$D53)</f>
        <v/>
      </c>
      <c r="O53" s="70">
        <f>IF($A53="","",IF(Jan!AU26="",0,IF(Jan!AU26&lt;&gt;"OK",1,0))+IF(Feb!AU26="",0,IF(Feb!AU26&lt;&gt;"OK",1,0))+IF(Mar!AU26="",0,IF(Mar!AU26&lt;&gt;"OK",1,0))+IF(Apr!AU26="",0,IF(Apr!AU26&lt;&gt;"OK",1,0))+IF(May!AU26="",0,IF(May!AU26&lt;&gt;"OK",1,0))+IF(Jun!AU26="",0,IF(Jun!AU26&lt;&gt;"OK",1,0))+IF(Jul!AU26="",0,IF(Jul!AU26&lt;&gt;"OK",1,0))+IF(Aug!AU26="",0,IF(Aug!AU26&lt;&gt;"OK",1,0))+IF(Sep!AU26="",0,IF(Sep!AU26&lt;&gt;"OK",1,0))+IF(Oct!AU26="",0,IF(Oct!AU26&lt;&gt;"OK",1,0))+IF(Nov!AU26="",0,IF(Nov!AU26&lt;&gt;"OK",1,0))+IF(Dec!AU26="",0,IF(Dec!AU26&lt;&gt;"OK",1,0)))</f>
        <v/>
      </c>
      <c r="P53" s="70">
        <f>IF($A53="","",IF(OR(Jan!AU26="CRITICAL",Feb!AU26="CRITICAL",Mar!AU26="CRITICAL",Apr!AU26="CRITICAL",May!AU26="CRITICAL",Jun!AU26="CRITICAL",Jul!AU26="CRITICAL",Aug!AU26="CRITICAL",Sep!AU26="CRITICAL",Oct!AU26="CRITICAL",Nov!AU26="CRITICAL",Dec!AU26="CRITICAL",$G53&gt;=2),"CRITICAL",IF(OR($G53&gt;0,$O53&gt;0,$N53&lt;0.95),"REVIEW","OK")))</f>
        <v/>
      </c>
    </row>
    <row r="54" ht="18" customHeight="1" s="57">
      <c r="A54" s="70">
        <f>IF('Employee Master'!A27="","",'Employee Master'!A27)</f>
        <v/>
      </c>
      <c r="B54" s="63">
        <f>IF($A54="","",'Employee Master'!B27)</f>
        <v/>
      </c>
      <c r="C54" s="70">
        <f>IF($A54="","",'Employee Master'!C27)</f>
        <v/>
      </c>
      <c r="D54" s="70">
        <f>IF($A54="","",$B$5)</f>
        <v/>
      </c>
      <c r="E54" s="70">
        <f>IF($A54="","",Jan!AI27+Feb!AI27+Mar!AI27+Apr!AI27+May!AI27+Jun!AI27+Jul!AI27+Aug!AI27+Sep!AI27+Oct!AI27+Nov!AI27+Dec!AI27)</f>
        <v/>
      </c>
      <c r="F54" s="70">
        <f>IF($A54="","",Jan!AJ27+Feb!AJ27+Mar!AJ27+Apr!AJ27+May!AJ27+Jun!AJ27+Jul!AJ27+Aug!AJ27+Sep!AJ27+Oct!AJ27+Nov!AJ27+Dec!AJ27)</f>
        <v/>
      </c>
      <c r="G54" s="70">
        <f>IF($A54="","",Jan!AK27+Feb!AK27+Mar!AK27+Apr!AK27+May!AK27+Jun!AK27+Jul!AK27+Aug!AK27+Sep!AK27+Oct!AK27+Nov!AK27+Dec!AK27)</f>
        <v/>
      </c>
      <c r="H54" s="70">
        <f>IF($A54="","",Jan!AL27+Feb!AL27+Mar!AL27+Apr!AL27+May!AL27+Jun!AL27+Jul!AL27+Aug!AL27+Sep!AL27+Oct!AL27+Nov!AL27+Dec!AL27)</f>
        <v/>
      </c>
      <c r="I54" s="70">
        <f>IF($A54="","",Jan!AM27+Feb!AM27+Mar!AM27+Apr!AM27+May!AM27+Jun!AM27+Jul!AM27+Aug!AM27+Sep!AM27+Oct!AM27+Nov!AM27+Dec!AM27)</f>
        <v/>
      </c>
      <c r="J54" s="70">
        <f>IF($A54="","",Jan!AN27+Feb!AN27+Mar!AN27+Apr!AN27+May!AN27+Jun!AN27+Jul!AN27+Aug!AN27+Sep!AN27+Oct!AN27+Nov!AN27+Dec!AN27)</f>
        <v/>
      </c>
      <c r="K54" s="70">
        <f>IF($A54="","",Jan!AO27+Feb!AO27+Mar!AO27+Apr!AO27+May!AO27+Jun!AO27+Jul!AO27+Aug!AO27+Sep!AO27+Oct!AO27+Nov!AO27+Dec!AO27)</f>
        <v/>
      </c>
      <c r="L54" s="70">
        <f>IF($A54="","",Jan!AP27+Feb!AP27+Mar!AP27+Apr!AP27+May!AP27+Jun!AP27+Jul!AP27+Aug!AP27+Sep!AP27+Oct!AP27+Nov!AP27+Dec!AP27)</f>
        <v/>
      </c>
      <c r="M54" s="90">
        <f>IF(OR($A54="",$D54=0),"",$E54/$D54)</f>
        <v/>
      </c>
      <c r="N54" s="90">
        <f>IF(OR($A54="",$D54=0),"",($E54+$F54)/$D54)</f>
        <v/>
      </c>
      <c r="O54" s="70">
        <f>IF($A54="","",IF(Jan!AU27="",0,IF(Jan!AU27&lt;&gt;"OK",1,0))+IF(Feb!AU27="",0,IF(Feb!AU27&lt;&gt;"OK",1,0))+IF(Mar!AU27="",0,IF(Mar!AU27&lt;&gt;"OK",1,0))+IF(Apr!AU27="",0,IF(Apr!AU27&lt;&gt;"OK",1,0))+IF(May!AU27="",0,IF(May!AU27&lt;&gt;"OK",1,0))+IF(Jun!AU27="",0,IF(Jun!AU27&lt;&gt;"OK",1,0))+IF(Jul!AU27="",0,IF(Jul!AU27&lt;&gt;"OK",1,0))+IF(Aug!AU27="",0,IF(Aug!AU27&lt;&gt;"OK",1,0))+IF(Sep!AU27="",0,IF(Sep!AU27&lt;&gt;"OK",1,0))+IF(Oct!AU27="",0,IF(Oct!AU27&lt;&gt;"OK",1,0))+IF(Nov!AU27="",0,IF(Nov!AU27&lt;&gt;"OK",1,0))+IF(Dec!AU27="",0,IF(Dec!AU27&lt;&gt;"OK",1,0)))</f>
        <v/>
      </c>
      <c r="P54" s="70">
        <f>IF($A54="","",IF(OR(Jan!AU27="CRITICAL",Feb!AU27="CRITICAL",Mar!AU27="CRITICAL",Apr!AU27="CRITICAL",May!AU27="CRITICAL",Jun!AU27="CRITICAL",Jul!AU27="CRITICAL",Aug!AU27="CRITICAL",Sep!AU27="CRITICAL",Oct!AU27="CRITICAL",Nov!AU27="CRITICAL",Dec!AU27="CRITICAL",$G54&gt;=2),"CRITICAL",IF(OR($G54&gt;0,$O54&gt;0,$N54&lt;0.95),"REVIEW","OK")))</f>
        <v/>
      </c>
    </row>
    <row r="55" ht="18" customHeight="1" s="57">
      <c r="A55" s="70">
        <f>IF('Employee Master'!A28="","",'Employee Master'!A28)</f>
        <v/>
      </c>
      <c r="B55" s="63">
        <f>IF($A55="","",'Employee Master'!B28)</f>
        <v/>
      </c>
      <c r="C55" s="70">
        <f>IF($A55="","",'Employee Master'!C28)</f>
        <v/>
      </c>
      <c r="D55" s="70">
        <f>IF($A55="","",$B$5)</f>
        <v/>
      </c>
      <c r="E55" s="70">
        <f>IF($A55="","",Jan!AI28+Feb!AI28+Mar!AI28+Apr!AI28+May!AI28+Jun!AI28+Jul!AI28+Aug!AI28+Sep!AI28+Oct!AI28+Nov!AI28+Dec!AI28)</f>
        <v/>
      </c>
      <c r="F55" s="70">
        <f>IF($A55="","",Jan!AJ28+Feb!AJ28+Mar!AJ28+Apr!AJ28+May!AJ28+Jun!AJ28+Jul!AJ28+Aug!AJ28+Sep!AJ28+Oct!AJ28+Nov!AJ28+Dec!AJ28)</f>
        <v/>
      </c>
      <c r="G55" s="70">
        <f>IF($A55="","",Jan!AK28+Feb!AK28+Mar!AK28+Apr!AK28+May!AK28+Jun!AK28+Jul!AK28+Aug!AK28+Sep!AK28+Oct!AK28+Nov!AK28+Dec!AK28)</f>
        <v/>
      </c>
      <c r="H55" s="70">
        <f>IF($A55="","",Jan!AL28+Feb!AL28+Mar!AL28+Apr!AL28+May!AL28+Jun!AL28+Jul!AL28+Aug!AL28+Sep!AL28+Oct!AL28+Nov!AL28+Dec!AL28)</f>
        <v/>
      </c>
      <c r="I55" s="70">
        <f>IF($A55="","",Jan!AM28+Feb!AM28+Mar!AM28+Apr!AM28+May!AM28+Jun!AM28+Jul!AM28+Aug!AM28+Sep!AM28+Oct!AM28+Nov!AM28+Dec!AM28)</f>
        <v/>
      </c>
      <c r="J55" s="70">
        <f>IF($A55="","",Jan!AN28+Feb!AN28+Mar!AN28+Apr!AN28+May!AN28+Jun!AN28+Jul!AN28+Aug!AN28+Sep!AN28+Oct!AN28+Nov!AN28+Dec!AN28)</f>
        <v/>
      </c>
      <c r="K55" s="70">
        <f>IF($A55="","",Jan!AO28+Feb!AO28+Mar!AO28+Apr!AO28+May!AO28+Jun!AO28+Jul!AO28+Aug!AO28+Sep!AO28+Oct!AO28+Nov!AO28+Dec!AO28)</f>
        <v/>
      </c>
      <c r="L55" s="70">
        <f>IF($A55="","",Jan!AP28+Feb!AP28+Mar!AP28+Apr!AP28+May!AP28+Jun!AP28+Jul!AP28+Aug!AP28+Sep!AP28+Oct!AP28+Nov!AP28+Dec!AP28)</f>
        <v/>
      </c>
      <c r="M55" s="90">
        <f>IF(OR($A55="",$D55=0),"",$E55/$D55)</f>
        <v/>
      </c>
      <c r="N55" s="90">
        <f>IF(OR($A55="",$D55=0),"",($E55+$F55)/$D55)</f>
        <v/>
      </c>
      <c r="O55" s="70">
        <f>IF($A55="","",IF(Jan!AU28="",0,IF(Jan!AU28&lt;&gt;"OK",1,0))+IF(Feb!AU28="",0,IF(Feb!AU28&lt;&gt;"OK",1,0))+IF(Mar!AU28="",0,IF(Mar!AU28&lt;&gt;"OK",1,0))+IF(Apr!AU28="",0,IF(Apr!AU28&lt;&gt;"OK",1,0))+IF(May!AU28="",0,IF(May!AU28&lt;&gt;"OK",1,0))+IF(Jun!AU28="",0,IF(Jun!AU28&lt;&gt;"OK",1,0))+IF(Jul!AU28="",0,IF(Jul!AU28&lt;&gt;"OK",1,0))+IF(Aug!AU28="",0,IF(Aug!AU28&lt;&gt;"OK",1,0))+IF(Sep!AU28="",0,IF(Sep!AU28&lt;&gt;"OK",1,0))+IF(Oct!AU28="",0,IF(Oct!AU28&lt;&gt;"OK",1,0))+IF(Nov!AU28="",0,IF(Nov!AU28&lt;&gt;"OK",1,0))+IF(Dec!AU28="",0,IF(Dec!AU28&lt;&gt;"OK",1,0)))</f>
        <v/>
      </c>
      <c r="P55" s="70">
        <f>IF($A55="","",IF(OR(Jan!AU28="CRITICAL",Feb!AU28="CRITICAL",Mar!AU28="CRITICAL",Apr!AU28="CRITICAL",May!AU28="CRITICAL",Jun!AU28="CRITICAL",Jul!AU28="CRITICAL",Aug!AU28="CRITICAL",Sep!AU28="CRITICAL",Oct!AU28="CRITICAL",Nov!AU28="CRITICAL",Dec!AU28="CRITICAL",$G55&gt;=2),"CRITICAL",IF(OR($G55&gt;0,$O55&gt;0,$N55&lt;0.95),"REVIEW","OK")))</f>
        <v/>
      </c>
    </row>
    <row r="56" ht="18" customHeight="1" s="57">
      <c r="A56" s="70">
        <f>IF('Employee Master'!A29="","",'Employee Master'!A29)</f>
        <v/>
      </c>
      <c r="B56" s="63">
        <f>IF($A56="","",'Employee Master'!B29)</f>
        <v/>
      </c>
      <c r="C56" s="70">
        <f>IF($A56="","",'Employee Master'!C29)</f>
        <v/>
      </c>
      <c r="D56" s="70">
        <f>IF($A56="","",$B$5)</f>
        <v/>
      </c>
      <c r="E56" s="70">
        <f>IF($A56="","",Jan!AI29+Feb!AI29+Mar!AI29+Apr!AI29+May!AI29+Jun!AI29+Jul!AI29+Aug!AI29+Sep!AI29+Oct!AI29+Nov!AI29+Dec!AI29)</f>
        <v/>
      </c>
      <c r="F56" s="70">
        <f>IF($A56="","",Jan!AJ29+Feb!AJ29+Mar!AJ29+Apr!AJ29+May!AJ29+Jun!AJ29+Jul!AJ29+Aug!AJ29+Sep!AJ29+Oct!AJ29+Nov!AJ29+Dec!AJ29)</f>
        <v/>
      </c>
      <c r="G56" s="70">
        <f>IF($A56="","",Jan!AK29+Feb!AK29+Mar!AK29+Apr!AK29+May!AK29+Jun!AK29+Jul!AK29+Aug!AK29+Sep!AK29+Oct!AK29+Nov!AK29+Dec!AK29)</f>
        <v/>
      </c>
      <c r="H56" s="70">
        <f>IF($A56="","",Jan!AL29+Feb!AL29+Mar!AL29+Apr!AL29+May!AL29+Jun!AL29+Jul!AL29+Aug!AL29+Sep!AL29+Oct!AL29+Nov!AL29+Dec!AL29)</f>
        <v/>
      </c>
      <c r="I56" s="70">
        <f>IF($A56="","",Jan!AM29+Feb!AM29+Mar!AM29+Apr!AM29+May!AM29+Jun!AM29+Jul!AM29+Aug!AM29+Sep!AM29+Oct!AM29+Nov!AM29+Dec!AM29)</f>
        <v/>
      </c>
      <c r="J56" s="70">
        <f>IF($A56="","",Jan!AN29+Feb!AN29+Mar!AN29+Apr!AN29+May!AN29+Jun!AN29+Jul!AN29+Aug!AN29+Sep!AN29+Oct!AN29+Nov!AN29+Dec!AN29)</f>
        <v/>
      </c>
      <c r="K56" s="70">
        <f>IF($A56="","",Jan!AO29+Feb!AO29+Mar!AO29+Apr!AO29+May!AO29+Jun!AO29+Jul!AO29+Aug!AO29+Sep!AO29+Oct!AO29+Nov!AO29+Dec!AO29)</f>
        <v/>
      </c>
      <c r="L56" s="70">
        <f>IF($A56="","",Jan!AP29+Feb!AP29+Mar!AP29+Apr!AP29+May!AP29+Jun!AP29+Jul!AP29+Aug!AP29+Sep!AP29+Oct!AP29+Nov!AP29+Dec!AP29)</f>
        <v/>
      </c>
      <c r="M56" s="90">
        <f>IF(OR($A56="",$D56=0),"",$E56/$D56)</f>
        <v/>
      </c>
      <c r="N56" s="90">
        <f>IF(OR($A56="",$D56=0),"",($E56+$F56)/$D56)</f>
        <v/>
      </c>
      <c r="O56" s="70">
        <f>IF($A56="","",IF(Jan!AU29="",0,IF(Jan!AU29&lt;&gt;"OK",1,0))+IF(Feb!AU29="",0,IF(Feb!AU29&lt;&gt;"OK",1,0))+IF(Mar!AU29="",0,IF(Mar!AU29&lt;&gt;"OK",1,0))+IF(Apr!AU29="",0,IF(Apr!AU29&lt;&gt;"OK",1,0))+IF(May!AU29="",0,IF(May!AU29&lt;&gt;"OK",1,0))+IF(Jun!AU29="",0,IF(Jun!AU29&lt;&gt;"OK",1,0))+IF(Jul!AU29="",0,IF(Jul!AU29&lt;&gt;"OK",1,0))+IF(Aug!AU29="",0,IF(Aug!AU29&lt;&gt;"OK",1,0))+IF(Sep!AU29="",0,IF(Sep!AU29&lt;&gt;"OK",1,0))+IF(Oct!AU29="",0,IF(Oct!AU29&lt;&gt;"OK",1,0))+IF(Nov!AU29="",0,IF(Nov!AU29&lt;&gt;"OK",1,0))+IF(Dec!AU29="",0,IF(Dec!AU29&lt;&gt;"OK",1,0)))</f>
        <v/>
      </c>
      <c r="P56" s="70">
        <f>IF($A56="","",IF(OR(Jan!AU29="CRITICAL",Feb!AU29="CRITICAL",Mar!AU29="CRITICAL",Apr!AU29="CRITICAL",May!AU29="CRITICAL",Jun!AU29="CRITICAL",Jul!AU29="CRITICAL",Aug!AU29="CRITICAL",Sep!AU29="CRITICAL",Oct!AU29="CRITICAL",Nov!AU29="CRITICAL",Dec!AU29="CRITICAL",$G56&gt;=2),"CRITICAL",IF(OR($G56&gt;0,$O56&gt;0,$N56&lt;0.95),"REVIEW","OK")))</f>
        <v/>
      </c>
    </row>
    <row r="57" ht="18" customHeight="1" s="57">
      <c r="A57" s="70">
        <f>IF('Employee Master'!A30="","",'Employee Master'!A30)</f>
        <v/>
      </c>
      <c r="B57" s="63">
        <f>IF($A57="","",'Employee Master'!B30)</f>
        <v/>
      </c>
      <c r="C57" s="70">
        <f>IF($A57="","",'Employee Master'!C30)</f>
        <v/>
      </c>
      <c r="D57" s="70">
        <f>IF($A57="","",$B$5)</f>
        <v/>
      </c>
      <c r="E57" s="70">
        <f>IF($A57="","",Jan!AI30+Feb!AI30+Mar!AI30+Apr!AI30+May!AI30+Jun!AI30+Jul!AI30+Aug!AI30+Sep!AI30+Oct!AI30+Nov!AI30+Dec!AI30)</f>
        <v/>
      </c>
      <c r="F57" s="70">
        <f>IF($A57="","",Jan!AJ30+Feb!AJ30+Mar!AJ30+Apr!AJ30+May!AJ30+Jun!AJ30+Jul!AJ30+Aug!AJ30+Sep!AJ30+Oct!AJ30+Nov!AJ30+Dec!AJ30)</f>
        <v/>
      </c>
      <c r="G57" s="70">
        <f>IF($A57="","",Jan!AK30+Feb!AK30+Mar!AK30+Apr!AK30+May!AK30+Jun!AK30+Jul!AK30+Aug!AK30+Sep!AK30+Oct!AK30+Nov!AK30+Dec!AK30)</f>
        <v/>
      </c>
      <c r="H57" s="70">
        <f>IF($A57="","",Jan!AL30+Feb!AL30+Mar!AL30+Apr!AL30+May!AL30+Jun!AL30+Jul!AL30+Aug!AL30+Sep!AL30+Oct!AL30+Nov!AL30+Dec!AL30)</f>
        <v/>
      </c>
      <c r="I57" s="70">
        <f>IF($A57="","",Jan!AM30+Feb!AM30+Mar!AM30+Apr!AM30+May!AM30+Jun!AM30+Jul!AM30+Aug!AM30+Sep!AM30+Oct!AM30+Nov!AM30+Dec!AM30)</f>
        <v/>
      </c>
      <c r="J57" s="70">
        <f>IF($A57="","",Jan!AN30+Feb!AN30+Mar!AN30+Apr!AN30+May!AN30+Jun!AN30+Jul!AN30+Aug!AN30+Sep!AN30+Oct!AN30+Nov!AN30+Dec!AN30)</f>
        <v/>
      </c>
      <c r="K57" s="70">
        <f>IF($A57="","",Jan!AO30+Feb!AO30+Mar!AO30+Apr!AO30+May!AO30+Jun!AO30+Jul!AO30+Aug!AO30+Sep!AO30+Oct!AO30+Nov!AO30+Dec!AO30)</f>
        <v/>
      </c>
      <c r="L57" s="70">
        <f>IF($A57="","",Jan!AP30+Feb!AP30+Mar!AP30+Apr!AP30+May!AP30+Jun!AP30+Jul!AP30+Aug!AP30+Sep!AP30+Oct!AP30+Nov!AP30+Dec!AP30)</f>
        <v/>
      </c>
      <c r="M57" s="90">
        <f>IF(OR($A57="",$D57=0),"",$E57/$D57)</f>
        <v/>
      </c>
      <c r="N57" s="90">
        <f>IF(OR($A57="",$D57=0),"",($E57+$F57)/$D57)</f>
        <v/>
      </c>
      <c r="O57" s="70">
        <f>IF($A57="","",IF(Jan!AU30="",0,IF(Jan!AU30&lt;&gt;"OK",1,0))+IF(Feb!AU30="",0,IF(Feb!AU30&lt;&gt;"OK",1,0))+IF(Mar!AU30="",0,IF(Mar!AU30&lt;&gt;"OK",1,0))+IF(Apr!AU30="",0,IF(Apr!AU30&lt;&gt;"OK",1,0))+IF(May!AU30="",0,IF(May!AU30&lt;&gt;"OK",1,0))+IF(Jun!AU30="",0,IF(Jun!AU30&lt;&gt;"OK",1,0))+IF(Jul!AU30="",0,IF(Jul!AU30&lt;&gt;"OK",1,0))+IF(Aug!AU30="",0,IF(Aug!AU30&lt;&gt;"OK",1,0))+IF(Sep!AU30="",0,IF(Sep!AU30&lt;&gt;"OK",1,0))+IF(Oct!AU30="",0,IF(Oct!AU30&lt;&gt;"OK",1,0))+IF(Nov!AU30="",0,IF(Nov!AU30&lt;&gt;"OK",1,0))+IF(Dec!AU30="",0,IF(Dec!AU30&lt;&gt;"OK",1,0)))</f>
        <v/>
      </c>
      <c r="P57" s="70">
        <f>IF($A57="","",IF(OR(Jan!AU30="CRITICAL",Feb!AU30="CRITICAL",Mar!AU30="CRITICAL",Apr!AU30="CRITICAL",May!AU30="CRITICAL",Jun!AU30="CRITICAL",Jul!AU30="CRITICAL",Aug!AU30="CRITICAL",Sep!AU30="CRITICAL",Oct!AU30="CRITICAL",Nov!AU30="CRITICAL",Dec!AU30="CRITICAL",$G57&gt;=2),"CRITICAL",IF(OR($G57&gt;0,$O57&gt;0,$N57&lt;0.95),"REVIEW","OK")))</f>
        <v/>
      </c>
    </row>
    <row r="58" ht="18" customHeight="1" s="57">
      <c r="A58" s="70">
        <f>IF('Employee Master'!A31="","",'Employee Master'!A31)</f>
        <v/>
      </c>
      <c r="B58" s="63">
        <f>IF($A58="","",'Employee Master'!B31)</f>
        <v/>
      </c>
      <c r="C58" s="70">
        <f>IF($A58="","",'Employee Master'!C31)</f>
        <v/>
      </c>
      <c r="D58" s="70">
        <f>IF($A58="","",$B$5)</f>
        <v/>
      </c>
      <c r="E58" s="70">
        <f>IF($A58="","",Jan!AI31+Feb!AI31+Mar!AI31+Apr!AI31+May!AI31+Jun!AI31+Jul!AI31+Aug!AI31+Sep!AI31+Oct!AI31+Nov!AI31+Dec!AI31)</f>
        <v/>
      </c>
      <c r="F58" s="70">
        <f>IF($A58="","",Jan!AJ31+Feb!AJ31+Mar!AJ31+Apr!AJ31+May!AJ31+Jun!AJ31+Jul!AJ31+Aug!AJ31+Sep!AJ31+Oct!AJ31+Nov!AJ31+Dec!AJ31)</f>
        <v/>
      </c>
      <c r="G58" s="70">
        <f>IF($A58="","",Jan!AK31+Feb!AK31+Mar!AK31+Apr!AK31+May!AK31+Jun!AK31+Jul!AK31+Aug!AK31+Sep!AK31+Oct!AK31+Nov!AK31+Dec!AK31)</f>
        <v/>
      </c>
      <c r="H58" s="70">
        <f>IF($A58="","",Jan!AL31+Feb!AL31+Mar!AL31+Apr!AL31+May!AL31+Jun!AL31+Jul!AL31+Aug!AL31+Sep!AL31+Oct!AL31+Nov!AL31+Dec!AL31)</f>
        <v/>
      </c>
      <c r="I58" s="70">
        <f>IF($A58="","",Jan!AM31+Feb!AM31+Mar!AM31+Apr!AM31+May!AM31+Jun!AM31+Jul!AM31+Aug!AM31+Sep!AM31+Oct!AM31+Nov!AM31+Dec!AM31)</f>
        <v/>
      </c>
      <c r="J58" s="70">
        <f>IF($A58="","",Jan!AN31+Feb!AN31+Mar!AN31+Apr!AN31+May!AN31+Jun!AN31+Jul!AN31+Aug!AN31+Sep!AN31+Oct!AN31+Nov!AN31+Dec!AN31)</f>
        <v/>
      </c>
      <c r="K58" s="70">
        <f>IF($A58="","",Jan!AO31+Feb!AO31+Mar!AO31+Apr!AO31+May!AO31+Jun!AO31+Jul!AO31+Aug!AO31+Sep!AO31+Oct!AO31+Nov!AO31+Dec!AO31)</f>
        <v/>
      </c>
      <c r="L58" s="70">
        <f>IF($A58="","",Jan!AP31+Feb!AP31+Mar!AP31+Apr!AP31+May!AP31+Jun!AP31+Jul!AP31+Aug!AP31+Sep!AP31+Oct!AP31+Nov!AP31+Dec!AP31)</f>
        <v/>
      </c>
      <c r="M58" s="90">
        <f>IF(OR($A58="",$D58=0),"",$E58/$D58)</f>
        <v/>
      </c>
      <c r="N58" s="90">
        <f>IF(OR($A58="",$D58=0),"",($E58+$F58)/$D58)</f>
        <v/>
      </c>
      <c r="O58" s="70">
        <f>IF($A58="","",IF(Jan!AU31="",0,IF(Jan!AU31&lt;&gt;"OK",1,0))+IF(Feb!AU31="",0,IF(Feb!AU31&lt;&gt;"OK",1,0))+IF(Mar!AU31="",0,IF(Mar!AU31&lt;&gt;"OK",1,0))+IF(Apr!AU31="",0,IF(Apr!AU31&lt;&gt;"OK",1,0))+IF(May!AU31="",0,IF(May!AU31&lt;&gt;"OK",1,0))+IF(Jun!AU31="",0,IF(Jun!AU31&lt;&gt;"OK",1,0))+IF(Jul!AU31="",0,IF(Jul!AU31&lt;&gt;"OK",1,0))+IF(Aug!AU31="",0,IF(Aug!AU31&lt;&gt;"OK",1,0))+IF(Sep!AU31="",0,IF(Sep!AU31&lt;&gt;"OK",1,0))+IF(Oct!AU31="",0,IF(Oct!AU31&lt;&gt;"OK",1,0))+IF(Nov!AU31="",0,IF(Nov!AU31&lt;&gt;"OK",1,0))+IF(Dec!AU31="",0,IF(Dec!AU31&lt;&gt;"OK",1,0)))</f>
        <v/>
      </c>
      <c r="P58" s="70">
        <f>IF($A58="","",IF(OR(Jan!AU31="CRITICAL",Feb!AU31="CRITICAL",Mar!AU31="CRITICAL",Apr!AU31="CRITICAL",May!AU31="CRITICAL",Jun!AU31="CRITICAL",Jul!AU31="CRITICAL",Aug!AU31="CRITICAL",Sep!AU31="CRITICAL",Oct!AU31="CRITICAL",Nov!AU31="CRITICAL",Dec!AU31="CRITICAL",$G58&gt;=2),"CRITICAL",IF(OR($G58&gt;0,$O58&gt;0,$N58&lt;0.95),"REVIEW","OK")))</f>
        <v/>
      </c>
    </row>
    <row r="59" ht="18" customHeight="1" s="57">
      <c r="A59" s="70">
        <f>IF('Employee Master'!A32="","",'Employee Master'!A32)</f>
        <v/>
      </c>
      <c r="B59" s="63">
        <f>IF($A59="","",'Employee Master'!B32)</f>
        <v/>
      </c>
      <c r="C59" s="70">
        <f>IF($A59="","",'Employee Master'!C32)</f>
        <v/>
      </c>
      <c r="D59" s="70">
        <f>IF($A59="","",$B$5)</f>
        <v/>
      </c>
      <c r="E59" s="70">
        <f>IF($A59="","",Jan!AI32+Feb!AI32+Mar!AI32+Apr!AI32+May!AI32+Jun!AI32+Jul!AI32+Aug!AI32+Sep!AI32+Oct!AI32+Nov!AI32+Dec!AI32)</f>
        <v/>
      </c>
      <c r="F59" s="70">
        <f>IF($A59="","",Jan!AJ32+Feb!AJ32+Mar!AJ32+Apr!AJ32+May!AJ32+Jun!AJ32+Jul!AJ32+Aug!AJ32+Sep!AJ32+Oct!AJ32+Nov!AJ32+Dec!AJ32)</f>
        <v/>
      </c>
      <c r="G59" s="70">
        <f>IF($A59="","",Jan!AK32+Feb!AK32+Mar!AK32+Apr!AK32+May!AK32+Jun!AK32+Jul!AK32+Aug!AK32+Sep!AK32+Oct!AK32+Nov!AK32+Dec!AK32)</f>
        <v/>
      </c>
      <c r="H59" s="70">
        <f>IF($A59="","",Jan!AL32+Feb!AL32+Mar!AL32+Apr!AL32+May!AL32+Jun!AL32+Jul!AL32+Aug!AL32+Sep!AL32+Oct!AL32+Nov!AL32+Dec!AL32)</f>
        <v/>
      </c>
      <c r="I59" s="70">
        <f>IF($A59="","",Jan!AM32+Feb!AM32+Mar!AM32+Apr!AM32+May!AM32+Jun!AM32+Jul!AM32+Aug!AM32+Sep!AM32+Oct!AM32+Nov!AM32+Dec!AM32)</f>
        <v/>
      </c>
      <c r="J59" s="70">
        <f>IF($A59="","",Jan!AN32+Feb!AN32+Mar!AN32+Apr!AN32+May!AN32+Jun!AN32+Jul!AN32+Aug!AN32+Sep!AN32+Oct!AN32+Nov!AN32+Dec!AN32)</f>
        <v/>
      </c>
      <c r="K59" s="70">
        <f>IF($A59="","",Jan!AO32+Feb!AO32+Mar!AO32+Apr!AO32+May!AO32+Jun!AO32+Jul!AO32+Aug!AO32+Sep!AO32+Oct!AO32+Nov!AO32+Dec!AO32)</f>
        <v/>
      </c>
      <c r="L59" s="70">
        <f>IF($A59="","",Jan!AP32+Feb!AP32+Mar!AP32+Apr!AP32+May!AP32+Jun!AP32+Jul!AP32+Aug!AP32+Sep!AP32+Oct!AP32+Nov!AP32+Dec!AP32)</f>
        <v/>
      </c>
      <c r="M59" s="90">
        <f>IF(OR($A59="",$D59=0),"",$E59/$D59)</f>
        <v/>
      </c>
      <c r="N59" s="90">
        <f>IF(OR($A59="",$D59=0),"",($E59+$F59)/$D59)</f>
        <v/>
      </c>
      <c r="O59" s="70">
        <f>IF($A59="","",IF(Jan!AU32="",0,IF(Jan!AU32&lt;&gt;"OK",1,0))+IF(Feb!AU32="",0,IF(Feb!AU32&lt;&gt;"OK",1,0))+IF(Mar!AU32="",0,IF(Mar!AU32&lt;&gt;"OK",1,0))+IF(Apr!AU32="",0,IF(Apr!AU32&lt;&gt;"OK",1,0))+IF(May!AU32="",0,IF(May!AU32&lt;&gt;"OK",1,0))+IF(Jun!AU32="",0,IF(Jun!AU32&lt;&gt;"OK",1,0))+IF(Jul!AU32="",0,IF(Jul!AU32&lt;&gt;"OK",1,0))+IF(Aug!AU32="",0,IF(Aug!AU32&lt;&gt;"OK",1,0))+IF(Sep!AU32="",0,IF(Sep!AU32&lt;&gt;"OK",1,0))+IF(Oct!AU32="",0,IF(Oct!AU32&lt;&gt;"OK",1,0))+IF(Nov!AU32="",0,IF(Nov!AU32&lt;&gt;"OK",1,0))+IF(Dec!AU32="",0,IF(Dec!AU32&lt;&gt;"OK",1,0)))</f>
        <v/>
      </c>
      <c r="P59" s="70">
        <f>IF($A59="","",IF(OR(Jan!AU32="CRITICAL",Feb!AU32="CRITICAL",Mar!AU32="CRITICAL",Apr!AU32="CRITICAL",May!AU32="CRITICAL",Jun!AU32="CRITICAL",Jul!AU32="CRITICAL",Aug!AU32="CRITICAL",Sep!AU32="CRITICAL",Oct!AU32="CRITICAL",Nov!AU32="CRITICAL",Dec!AU32="CRITICAL",$G59&gt;=2),"CRITICAL",IF(OR($G59&gt;0,$O59&gt;0,$N59&lt;0.95),"REVIEW","OK")))</f>
        <v/>
      </c>
    </row>
    <row r="60" ht="18" customHeight="1" s="57">
      <c r="A60" s="70">
        <f>IF('Employee Master'!A33="","",'Employee Master'!A33)</f>
        <v/>
      </c>
      <c r="B60" s="63">
        <f>IF($A60="","",'Employee Master'!B33)</f>
        <v/>
      </c>
      <c r="C60" s="70">
        <f>IF($A60="","",'Employee Master'!C33)</f>
        <v/>
      </c>
      <c r="D60" s="70">
        <f>IF($A60="","",$B$5)</f>
        <v/>
      </c>
      <c r="E60" s="70">
        <f>IF($A60="","",Jan!AI33+Feb!AI33+Mar!AI33+Apr!AI33+May!AI33+Jun!AI33+Jul!AI33+Aug!AI33+Sep!AI33+Oct!AI33+Nov!AI33+Dec!AI33)</f>
        <v/>
      </c>
      <c r="F60" s="70">
        <f>IF($A60="","",Jan!AJ33+Feb!AJ33+Mar!AJ33+Apr!AJ33+May!AJ33+Jun!AJ33+Jul!AJ33+Aug!AJ33+Sep!AJ33+Oct!AJ33+Nov!AJ33+Dec!AJ33)</f>
        <v/>
      </c>
      <c r="G60" s="70">
        <f>IF($A60="","",Jan!AK33+Feb!AK33+Mar!AK33+Apr!AK33+May!AK33+Jun!AK33+Jul!AK33+Aug!AK33+Sep!AK33+Oct!AK33+Nov!AK33+Dec!AK33)</f>
        <v/>
      </c>
      <c r="H60" s="70">
        <f>IF($A60="","",Jan!AL33+Feb!AL33+Mar!AL33+Apr!AL33+May!AL33+Jun!AL33+Jul!AL33+Aug!AL33+Sep!AL33+Oct!AL33+Nov!AL33+Dec!AL33)</f>
        <v/>
      </c>
      <c r="I60" s="70">
        <f>IF($A60="","",Jan!AM33+Feb!AM33+Mar!AM33+Apr!AM33+May!AM33+Jun!AM33+Jul!AM33+Aug!AM33+Sep!AM33+Oct!AM33+Nov!AM33+Dec!AM33)</f>
        <v/>
      </c>
      <c r="J60" s="70">
        <f>IF($A60="","",Jan!AN33+Feb!AN33+Mar!AN33+Apr!AN33+May!AN33+Jun!AN33+Jul!AN33+Aug!AN33+Sep!AN33+Oct!AN33+Nov!AN33+Dec!AN33)</f>
        <v/>
      </c>
      <c r="K60" s="70">
        <f>IF($A60="","",Jan!AO33+Feb!AO33+Mar!AO33+Apr!AO33+May!AO33+Jun!AO33+Jul!AO33+Aug!AO33+Sep!AO33+Oct!AO33+Nov!AO33+Dec!AO33)</f>
        <v/>
      </c>
      <c r="L60" s="70">
        <f>IF($A60="","",Jan!AP33+Feb!AP33+Mar!AP33+Apr!AP33+May!AP33+Jun!AP33+Jul!AP33+Aug!AP33+Sep!AP33+Oct!AP33+Nov!AP33+Dec!AP33)</f>
        <v/>
      </c>
      <c r="M60" s="90">
        <f>IF(OR($A60="",$D60=0),"",$E60/$D60)</f>
        <v/>
      </c>
      <c r="N60" s="90">
        <f>IF(OR($A60="",$D60=0),"",($E60+$F60)/$D60)</f>
        <v/>
      </c>
      <c r="O60" s="70">
        <f>IF($A60="","",IF(Jan!AU33="",0,IF(Jan!AU33&lt;&gt;"OK",1,0))+IF(Feb!AU33="",0,IF(Feb!AU33&lt;&gt;"OK",1,0))+IF(Mar!AU33="",0,IF(Mar!AU33&lt;&gt;"OK",1,0))+IF(Apr!AU33="",0,IF(Apr!AU33&lt;&gt;"OK",1,0))+IF(May!AU33="",0,IF(May!AU33&lt;&gt;"OK",1,0))+IF(Jun!AU33="",0,IF(Jun!AU33&lt;&gt;"OK",1,0))+IF(Jul!AU33="",0,IF(Jul!AU33&lt;&gt;"OK",1,0))+IF(Aug!AU33="",0,IF(Aug!AU33&lt;&gt;"OK",1,0))+IF(Sep!AU33="",0,IF(Sep!AU33&lt;&gt;"OK",1,0))+IF(Oct!AU33="",0,IF(Oct!AU33&lt;&gt;"OK",1,0))+IF(Nov!AU33="",0,IF(Nov!AU33&lt;&gt;"OK",1,0))+IF(Dec!AU33="",0,IF(Dec!AU33&lt;&gt;"OK",1,0)))</f>
        <v/>
      </c>
      <c r="P60" s="70">
        <f>IF($A60="","",IF(OR(Jan!AU33="CRITICAL",Feb!AU33="CRITICAL",Mar!AU33="CRITICAL",Apr!AU33="CRITICAL",May!AU33="CRITICAL",Jun!AU33="CRITICAL",Jul!AU33="CRITICAL",Aug!AU33="CRITICAL",Sep!AU33="CRITICAL",Oct!AU33="CRITICAL",Nov!AU33="CRITICAL",Dec!AU33="CRITICAL",$G60&gt;=2),"CRITICAL",IF(OR($G60&gt;0,$O60&gt;0,$N60&lt;0.95),"REVIEW","OK")))</f>
        <v/>
      </c>
    </row>
    <row r="61" ht="18" customHeight="1" s="57">
      <c r="A61" s="70">
        <f>IF('Employee Master'!A34="","",'Employee Master'!A34)</f>
        <v/>
      </c>
      <c r="B61" s="63">
        <f>IF($A61="","",'Employee Master'!B34)</f>
        <v/>
      </c>
      <c r="C61" s="70">
        <f>IF($A61="","",'Employee Master'!C34)</f>
        <v/>
      </c>
      <c r="D61" s="70">
        <f>IF($A61="","",$B$5)</f>
        <v/>
      </c>
      <c r="E61" s="70">
        <f>IF($A61="","",Jan!AI34+Feb!AI34+Mar!AI34+Apr!AI34+May!AI34+Jun!AI34+Jul!AI34+Aug!AI34+Sep!AI34+Oct!AI34+Nov!AI34+Dec!AI34)</f>
        <v/>
      </c>
      <c r="F61" s="70">
        <f>IF($A61="","",Jan!AJ34+Feb!AJ34+Mar!AJ34+Apr!AJ34+May!AJ34+Jun!AJ34+Jul!AJ34+Aug!AJ34+Sep!AJ34+Oct!AJ34+Nov!AJ34+Dec!AJ34)</f>
        <v/>
      </c>
      <c r="G61" s="70">
        <f>IF($A61="","",Jan!AK34+Feb!AK34+Mar!AK34+Apr!AK34+May!AK34+Jun!AK34+Jul!AK34+Aug!AK34+Sep!AK34+Oct!AK34+Nov!AK34+Dec!AK34)</f>
        <v/>
      </c>
      <c r="H61" s="70">
        <f>IF($A61="","",Jan!AL34+Feb!AL34+Mar!AL34+Apr!AL34+May!AL34+Jun!AL34+Jul!AL34+Aug!AL34+Sep!AL34+Oct!AL34+Nov!AL34+Dec!AL34)</f>
        <v/>
      </c>
      <c r="I61" s="70">
        <f>IF($A61="","",Jan!AM34+Feb!AM34+Mar!AM34+Apr!AM34+May!AM34+Jun!AM34+Jul!AM34+Aug!AM34+Sep!AM34+Oct!AM34+Nov!AM34+Dec!AM34)</f>
        <v/>
      </c>
      <c r="J61" s="70">
        <f>IF($A61="","",Jan!AN34+Feb!AN34+Mar!AN34+Apr!AN34+May!AN34+Jun!AN34+Jul!AN34+Aug!AN34+Sep!AN34+Oct!AN34+Nov!AN34+Dec!AN34)</f>
        <v/>
      </c>
      <c r="K61" s="70">
        <f>IF($A61="","",Jan!AO34+Feb!AO34+Mar!AO34+Apr!AO34+May!AO34+Jun!AO34+Jul!AO34+Aug!AO34+Sep!AO34+Oct!AO34+Nov!AO34+Dec!AO34)</f>
        <v/>
      </c>
      <c r="L61" s="70">
        <f>IF($A61="","",Jan!AP34+Feb!AP34+Mar!AP34+Apr!AP34+May!AP34+Jun!AP34+Jul!AP34+Aug!AP34+Sep!AP34+Oct!AP34+Nov!AP34+Dec!AP34)</f>
        <v/>
      </c>
      <c r="M61" s="90">
        <f>IF(OR($A61="",$D61=0),"",$E61/$D61)</f>
        <v/>
      </c>
      <c r="N61" s="90">
        <f>IF(OR($A61="",$D61=0),"",($E61+$F61)/$D61)</f>
        <v/>
      </c>
      <c r="O61" s="70">
        <f>IF($A61="","",IF(Jan!AU34="",0,IF(Jan!AU34&lt;&gt;"OK",1,0))+IF(Feb!AU34="",0,IF(Feb!AU34&lt;&gt;"OK",1,0))+IF(Mar!AU34="",0,IF(Mar!AU34&lt;&gt;"OK",1,0))+IF(Apr!AU34="",0,IF(Apr!AU34&lt;&gt;"OK",1,0))+IF(May!AU34="",0,IF(May!AU34&lt;&gt;"OK",1,0))+IF(Jun!AU34="",0,IF(Jun!AU34&lt;&gt;"OK",1,0))+IF(Jul!AU34="",0,IF(Jul!AU34&lt;&gt;"OK",1,0))+IF(Aug!AU34="",0,IF(Aug!AU34&lt;&gt;"OK",1,0))+IF(Sep!AU34="",0,IF(Sep!AU34&lt;&gt;"OK",1,0))+IF(Oct!AU34="",0,IF(Oct!AU34&lt;&gt;"OK",1,0))+IF(Nov!AU34="",0,IF(Nov!AU34&lt;&gt;"OK",1,0))+IF(Dec!AU34="",0,IF(Dec!AU34&lt;&gt;"OK",1,0)))</f>
        <v/>
      </c>
      <c r="P61" s="70">
        <f>IF($A61="","",IF(OR(Jan!AU34="CRITICAL",Feb!AU34="CRITICAL",Mar!AU34="CRITICAL",Apr!AU34="CRITICAL",May!AU34="CRITICAL",Jun!AU34="CRITICAL",Jul!AU34="CRITICAL",Aug!AU34="CRITICAL",Sep!AU34="CRITICAL",Oct!AU34="CRITICAL",Nov!AU34="CRITICAL",Dec!AU34="CRITICAL",$G61&gt;=2),"CRITICAL",IF(OR($G61&gt;0,$O61&gt;0,$N61&lt;0.95),"REVIEW","OK")))</f>
        <v/>
      </c>
    </row>
    <row r="62" ht="18" customHeight="1" s="57">
      <c r="A62" s="70">
        <f>IF('Employee Master'!A35="","",'Employee Master'!A35)</f>
        <v/>
      </c>
      <c r="B62" s="63">
        <f>IF($A62="","",'Employee Master'!B35)</f>
        <v/>
      </c>
      <c r="C62" s="70">
        <f>IF($A62="","",'Employee Master'!C35)</f>
        <v/>
      </c>
      <c r="D62" s="70">
        <f>IF($A62="","",$B$5)</f>
        <v/>
      </c>
      <c r="E62" s="70">
        <f>IF($A62="","",Jan!AI35+Feb!AI35+Mar!AI35+Apr!AI35+May!AI35+Jun!AI35+Jul!AI35+Aug!AI35+Sep!AI35+Oct!AI35+Nov!AI35+Dec!AI35)</f>
        <v/>
      </c>
      <c r="F62" s="70">
        <f>IF($A62="","",Jan!AJ35+Feb!AJ35+Mar!AJ35+Apr!AJ35+May!AJ35+Jun!AJ35+Jul!AJ35+Aug!AJ35+Sep!AJ35+Oct!AJ35+Nov!AJ35+Dec!AJ35)</f>
        <v/>
      </c>
      <c r="G62" s="70">
        <f>IF($A62="","",Jan!AK35+Feb!AK35+Mar!AK35+Apr!AK35+May!AK35+Jun!AK35+Jul!AK35+Aug!AK35+Sep!AK35+Oct!AK35+Nov!AK35+Dec!AK35)</f>
        <v/>
      </c>
      <c r="H62" s="70">
        <f>IF($A62="","",Jan!AL35+Feb!AL35+Mar!AL35+Apr!AL35+May!AL35+Jun!AL35+Jul!AL35+Aug!AL35+Sep!AL35+Oct!AL35+Nov!AL35+Dec!AL35)</f>
        <v/>
      </c>
      <c r="I62" s="70">
        <f>IF($A62="","",Jan!AM35+Feb!AM35+Mar!AM35+Apr!AM35+May!AM35+Jun!AM35+Jul!AM35+Aug!AM35+Sep!AM35+Oct!AM35+Nov!AM35+Dec!AM35)</f>
        <v/>
      </c>
      <c r="J62" s="70">
        <f>IF($A62="","",Jan!AN35+Feb!AN35+Mar!AN35+Apr!AN35+May!AN35+Jun!AN35+Jul!AN35+Aug!AN35+Sep!AN35+Oct!AN35+Nov!AN35+Dec!AN35)</f>
        <v/>
      </c>
      <c r="K62" s="70">
        <f>IF($A62="","",Jan!AO35+Feb!AO35+Mar!AO35+Apr!AO35+May!AO35+Jun!AO35+Jul!AO35+Aug!AO35+Sep!AO35+Oct!AO35+Nov!AO35+Dec!AO35)</f>
        <v/>
      </c>
      <c r="L62" s="70">
        <f>IF($A62="","",Jan!AP35+Feb!AP35+Mar!AP35+Apr!AP35+May!AP35+Jun!AP35+Jul!AP35+Aug!AP35+Sep!AP35+Oct!AP35+Nov!AP35+Dec!AP35)</f>
        <v/>
      </c>
      <c r="M62" s="90">
        <f>IF(OR($A62="",$D62=0),"",$E62/$D62)</f>
        <v/>
      </c>
      <c r="N62" s="90">
        <f>IF(OR($A62="",$D62=0),"",($E62+$F62)/$D62)</f>
        <v/>
      </c>
      <c r="O62" s="70">
        <f>IF($A62="","",IF(Jan!AU35="",0,IF(Jan!AU35&lt;&gt;"OK",1,0))+IF(Feb!AU35="",0,IF(Feb!AU35&lt;&gt;"OK",1,0))+IF(Mar!AU35="",0,IF(Mar!AU35&lt;&gt;"OK",1,0))+IF(Apr!AU35="",0,IF(Apr!AU35&lt;&gt;"OK",1,0))+IF(May!AU35="",0,IF(May!AU35&lt;&gt;"OK",1,0))+IF(Jun!AU35="",0,IF(Jun!AU35&lt;&gt;"OK",1,0))+IF(Jul!AU35="",0,IF(Jul!AU35&lt;&gt;"OK",1,0))+IF(Aug!AU35="",0,IF(Aug!AU35&lt;&gt;"OK",1,0))+IF(Sep!AU35="",0,IF(Sep!AU35&lt;&gt;"OK",1,0))+IF(Oct!AU35="",0,IF(Oct!AU35&lt;&gt;"OK",1,0))+IF(Nov!AU35="",0,IF(Nov!AU35&lt;&gt;"OK",1,0))+IF(Dec!AU35="",0,IF(Dec!AU35&lt;&gt;"OK",1,0)))</f>
        <v/>
      </c>
      <c r="P62" s="70">
        <f>IF($A62="","",IF(OR(Jan!AU35="CRITICAL",Feb!AU35="CRITICAL",Mar!AU35="CRITICAL",Apr!AU35="CRITICAL",May!AU35="CRITICAL",Jun!AU35="CRITICAL",Jul!AU35="CRITICAL",Aug!AU35="CRITICAL",Sep!AU35="CRITICAL",Oct!AU35="CRITICAL",Nov!AU35="CRITICAL",Dec!AU35="CRITICAL",$G62&gt;=2),"CRITICAL",IF(OR($G62&gt;0,$O62&gt;0,$N62&lt;0.95),"REVIEW","OK")))</f>
        <v/>
      </c>
    </row>
    <row r="63" ht="18" customHeight="1" s="57">
      <c r="A63" s="70">
        <f>IF('Employee Master'!A36="","",'Employee Master'!A36)</f>
        <v/>
      </c>
      <c r="B63" s="63">
        <f>IF($A63="","",'Employee Master'!B36)</f>
        <v/>
      </c>
      <c r="C63" s="70">
        <f>IF($A63="","",'Employee Master'!C36)</f>
        <v/>
      </c>
      <c r="D63" s="70">
        <f>IF($A63="","",$B$5)</f>
        <v/>
      </c>
      <c r="E63" s="70">
        <f>IF($A63="","",Jan!AI36+Feb!AI36+Mar!AI36+Apr!AI36+May!AI36+Jun!AI36+Jul!AI36+Aug!AI36+Sep!AI36+Oct!AI36+Nov!AI36+Dec!AI36)</f>
        <v/>
      </c>
      <c r="F63" s="70">
        <f>IF($A63="","",Jan!AJ36+Feb!AJ36+Mar!AJ36+Apr!AJ36+May!AJ36+Jun!AJ36+Jul!AJ36+Aug!AJ36+Sep!AJ36+Oct!AJ36+Nov!AJ36+Dec!AJ36)</f>
        <v/>
      </c>
      <c r="G63" s="70">
        <f>IF($A63="","",Jan!AK36+Feb!AK36+Mar!AK36+Apr!AK36+May!AK36+Jun!AK36+Jul!AK36+Aug!AK36+Sep!AK36+Oct!AK36+Nov!AK36+Dec!AK36)</f>
        <v/>
      </c>
      <c r="H63" s="70">
        <f>IF($A63="","",Jan!AL36+Feb!AL36+Mar!AL36+Apr!AL36+May!AL36+Jun!AL36+Jul!AL36+Aug!AL36+Sep!AL36+Oct!AL36+Nov!AL36+Dec!AL36)</f>
        <v/>
      </c>
      <c r="I63" s="70">
        <f>IF($A63="","",Jan!AM36+Feb!AM36+Mar!AM36+Apr!AM36+May!AM36+Jun!AM36+Jul!AM36+Aug!AM36+Sep!AM36+Oct!AM36+Nov!AM36+Dec!AM36)</f>
        <v/>
      </c>
      <c r="J63" s="70">
        <f>IF($A63="","",Jan!AN36+Feb!AN36+Mar!AN36+Apr!AN36+May!AN36+Jun!AN36+Jul!AN36+Aug!AN36+Sep!AN36+Oct!AN36+Nov!AN36+Dec!AN36)</f>
        <v/>
      </c>
      <c r="K63" s="70">
        <f>IF($A63="","",Jan!AO36+Feb!AO36+Mar!AO36+Apr!AO36+May!AO36+Jun!AO36+Jul!AO36+Aug!AO36+Sep!AO36+Oct!AO36+Nov!AO36+Dec!AO36)</f>
        <v/>
      </c>
      <c r="L63" s="70">
        <f>IF($A63="","",Jan!AP36+Feb!AP36+Mar!AP36+Apr!AP36+May!AP36+Jun!AP36+Jul!AP36+Aug!AP36+Sep!AP36+Oct!AP36+Nov!AP36+Dec!AP36)</f>
        <v/>
      </c>
      <c r="M63" s="90">
        <f>IF(OR($A63="",$D63=0),"",$E63/$D63)</f>
        <v/>
      </c>
      <c r="N63" s="90">
        <f>IF(OR($A63="",$D63=0),"",($E63+$F63)/$D63)</f>
        <v/>
      </c>
      <c r="O63" s="70">
        <f>IF($A63="","",IF(Jan!AU36="",0,IF(Jan!AU36&lt;&gt;"OK",1,0))+IF(Feb!AU36="",0,IF(Feb!AU36&lt;&gt;"OK",1,0))+IF(Mar!AU36="",0,IF(Mar!AU36&lt;&gt;"OK",1,0))+IF(Apr!AU36="",0,IF(Apr!AU36&lt;&gt;"OK",1,0))+IF(May!AU36="",0,IF(May!AU36&lt;&gt;"OK",1,0))+IF(Jun!AU36="",0,IF(Jun!AU36&lt;&gt;"OK",1,0))+IF(Jul!AU36="",0,IF(Jul!AU36&lt;&gt;"OK",1,0))+IF(Aug!AU36="",0,IF(Aug!AU36&lt;&gt;"OK",1,0))+IF(Sep!AU36="",0,IF(Sep!AU36&lt;&gt;"OK",1,0))+IF(Oct!AU36="",0,IF(Oct!AU36&lt;&gt;"OK",1,0))+IF(Nov!AU36="",0,IF(Nov!AU36&lt;&gt;"OK",1,0))+IF(Dec!AU36="",0,IF(Dec!AU36&lt;&gt;"OK",1,0)))</f>
        <v/>
      </c>
      <c r="P63" s="70">
        <f>IF($A63="","",IF(OR(Jan!AU36="CRITICAL",Feb!AU36="CRITICAL",Mar!AU36="CRITICAL",Apr!AU36="CRITICAL",May!AU36="CRITICAL",Jun!AU36="CRITICAL",Jul!AU36="CRITICAL",Aug!AU36="CRITICAL",Sep!AU36="CRITICAL",Oct!AU36="CRITICAL",Nov!AU36="CRITICAL",Dec!AU36="CRITICAL",$G63&gt;=2),"CRITICAL",IF(OR($G63&gt;0,$O63&gt;0,$N63&lt;0.95),"REVIEW","OK")))</f>
        <v/>
      </c>
    </row>
    <row r="64" ht="18" customHeight="1" s="57">
      <c r="A64" s="70">
        <f>IF('Employee Master'!A37="","",'Employee Master'!A37)</f>
        <v/>
      </c>
      <c r="B64" s="63">
        <f>IF($A64="","",'Employee Master'!B37)</f>
        <v/>
      </c>
      <c r="C64" s="70">
        <f>IF($A64="","",'Employee Master'!C37)</f>
        <v/>
      </c>
      <c r="D64" s="70">
        <f>IF($A64="","",$B$5)</f>
        <v/>
      </c>
      <c r="E64" s="70">
        <f>IF($A64="","",Jan!AI37+Feb!AI37+Mar!AI37+Apr!AI37+May!AI37+Jun!AI37+Jul!AI37+Aug!AI37+Sep!AI37+Oct!AI37+Nov!AI37+Dec!AI37)</f>
        <v/>
      </c>
      <c r="F64" s="70">
        <f>IF($A64="","",Jan!AJ37+Feb!AJ37+Mar!AJ37+Apr!AJ37+May!AJ37+Jun!AJ37+Jul!AJ37+Aug!AJ37+Sep!AJ37+Oct!AJ37+Nov!AJ37+Dec!AJ37)</f>
        <v/>
      </c>
      <c r="G64" s="70">
        <f>IF($A64="","",Jan!AK37+Feb!AK37+Mar!AK37+Apr!AK37+May!AK37+Jun!AK37+Jul!AK37+Aug!AK37+Sep!AK37+Oct!AK37+Nov!AK37+Dec!AK37)</f>
        <v/>
      </c>
      <c r="H64" s="70">
        <f>IF($A64="","",Jan!AL37+Feb!AL37+Mar!AL37+Apr!AL37+May!AL37+Jun!AL37+Jul!AL37+Aug!AL37+Sep!AL37+Oct!AL37+Nov!AL37+Dec!AL37)</f>
        <v/>
      </c>
      <c r="I64" s="70">
        <f>IF($A64="","",Jan!AM37+Feb!AM37+Mar!AM37+Apr!AM37+May!AM37+Jun!AM37+Jul!AM37+Aug!AM37+Sep!AM37+Oct!AM37+Nov!AM37+Dec!AM37)</f>
        <v/>
      </c>
      <c r="J64" s="70">
        <f>IF($A64="","",Jan!AN37+Feb!AN37+Mar!AN37+Apr!AN37+May!AN37+Jun!AN37+Jul!AN37+Aug!AN37+Sep!AN37+Oct!AN37+Nov!AN37+Dec!AN37)</f>
        <v/>
      </c>
      <c r="K64" s="70">
        <f>IF($A64="","",Jan!AO37+Feb!AO37+Mar!AO37+Apr!AO37+May!AO37+Jun!AO37+Jul!AO37+Aug!AO37+Sep!AO37+Oct!AO37+Nov!AO37+Dec!AO37)</f>
        <v/>
      </c>
      <c r="L64" s="70">
        <f>IF($A64="","",Jan!AP37+Feb!AP37+Mar!AP37+Apr!AP37+May!AP37+Jun!AP37+Jul!AP37+Aug!AP37+Sep!AP37+Oct!AP37+Nov!AP37+Dec!AP37)</f>
        <v/>
      </c>
      <c r="M64" s="90">
        <f>IF(OR($A64="",$D64=0),"",$E64/$D64)</f>
        <v/>
      </c>
      <c r="N64" s="90">
        <f>IF(OR($A64="",$D64=0),"",($E64+$F64)/$D64)</f>
        <v/>
      </c>
      <c r="O64" s="70">
        <f>IF($A64="","",IF(Jan!AU37="",0,IF(Jan!AU37&lt;&gt;"OK",1,0))+IF(Feb!AU37="",0,IF(Feb!AU37&lt;&gt;"OK",1,0))+IF(Mar!AU37="",0,IF(Mar!AU37&lt;&gt;"OK",1,0))+IF(Apr!AU37="",0,IF(Apr!AU37&lt;&gt;"OK",1,0))+IF(May!AU37="",0,IF(May!AU37&lt;&gt;"OK",1,0))+IF(Jun!AU37="",0,IF(Jun!AU37&lt;&gt;"OK",1,0))+IF(Jul!AU37="",0,IF(Jul!AU37&lt;&gt;"OK",1,0))+IF(Aug!AU37="",0,IF(Aug!AU37&lt;&gt;"OK",1,0))+IF(Sep!AU37="",0,IF(Sep!AU37&lt;&gt;"OK",1,0))+IF(Oct!AU37="",0,IF(Oct!AU37&lt;&gt;"OK",1,0))+IF(Nov!AU37="",0,IF(Nov!AU37&lt;&gt;"OK",1,0))+IF(Dec!AU37="",0,IF(Dec!AU37&lt;&gt;"OK",1,0)))</f>
        <v/>
      </c>
      <c r="P64" s="70">
        <f>IF($A64="","",IF(OR(Jan!AU37="CRITICAL",Feb!AU37="CRITICAL",Mar!AU37="CRITICAL",Apr!AU37="CRITICAL",May!AU37="CRITICAL",Jun!AU37="CRITICAL",Jul!AU37="CRITICAL",Aug!AU37="CRITICAL",Sep!AU37="CRITICAL",Oct!AU37="CRITICAL",Nov!AU37="CRITICAL",Dec!AU37="CRITICAL",$G64&gt;=2),"CRITICAL",IF(OR($G64&gt;0,$O64&gt;0,$N64&lt;0.95),"REVIEW","OK")))</f>
        <v/>
      </c>
    </row>
    <row r="65" ht="18" customHeight="1" s="57">
      <c r="A65" s="70">
        <f>IF('Employee Master'!A38="","",'Employee Master'!A38)</f>
        <v/>
      </c>
      <c r="B65" s="63">
        <f>IF($A65="","",'Employee Master'!B38)</f>
        <v/>
      </c>
      <c r="C65" s="70">
        <f>IF($A65="","",'Employee Master'!C38)</f>
        <v/>
      </c>
      <c r="D65" s="70">
        <f>IF($A65="","",$B$5)</f>
        <v/>
      </c>
      <c r="E65" s="70">
        <f>IF($A65="","",Jan!AI38+Feb!AI38+Mar!AI38+Apr!AI38+May!AI38+Jun!AI38+Jul!AI38+Aug!AI38+Sep!AI38+Oct!AI38+Nov!AI38+Dec!AI38)</f>
        <v/>
      </c>
      <c r="F65" s="70">
        <f>IF($A65="","",Jan!AJ38+Feb!AJ38+Mar!AJ38+Apr!AJ38+May!AJ38+Jun!AJ38+Jul!AJ38+Aug!AJ38+Sep!AJ38+Oct!AJ38+Nov!AJ38+Dec!AJ38)</f>
        <v/>
      </c>
      <c r="G65" s="70">
        <f>IF($A65="","",Jan!AK38+Feb!AK38+Mar!AK38+Apr!AK38+May!AK38+Jun!AK38+Jul!AK38+Aug!AK38+Sep!AK38+Oct!AK38+Nov!AK38+Dec!AK38)</f>
        <v/>
      </c>
      <c r="H65" s="70">
        <f>IF($A65="","",Jan!AL38+Feb!AL38+Mar!AL38+Apr!AL38+May!AL38+Jun!AL38+Jul!AL38+Aug!AL38+Sep!AL38+Oct!AL38+Nov!AL38+Dec!AL38)</f>
        <v/>
      </c>
      <c r="I65" s="70">
        <f>IF($A65="","",Jan!AM38+Feb!AM38+Mar!AM38+Apr!AM38+May!AM38+Jun!AM38+Jul!AM38+Aug!AM38+Sep!AM38+Oct!AM38+Nov!AM38+Dec!AM38)</f>
        <v/>
      </c>
      <c r="J65" s="70">
        <f>IF($A65="","",Jan!AN38+Feb!AN38+Mar!AN38+Apr!AN38+May!AN38+Jun!AN38+Jul!AN38+Aug!AN38+Sep!AN38+Oct!AN38+Nov!AN38+Dec!AN38)</f>
        <v/>
      </c>
      <c r="K65" s="70">
        <f>IF($A65="","",Jan!AO38+Feb!AO38+Mar!AO38+Apr!AO38+May!AO38+Jun!AO38+Jul!AO38+Aug!AO38+Sep!AO38+Oct!AO38+Nov!AO38+Dec!AO38)</f>
        <v/>
      </c>
      <c r="L65" s="70">
        <f>IF($A65="","",Jan!AP38+Feb!AP38+Mar!AP38+Apr!AP38+May!AP38+Jun!AP38+Jul!AP38+Aug!AP38+Sep!AP38+Oct!AP38+Nov!AP38+Dec!AP38)</f>
        <v/>
      </c>
      <c r="M65" s="90">
        <f>IF(OR($A65="",$D65=0),"",$E65/$D65)</f>
        <v/>
      </c>
      <c r="N65" s="90">
        <f>IF(OR($A65="",$D65=0),"",($E65+$F65)/$D65)</f>
        <v/>
      </c>
      <c r="O65" s="70">
        <f>IF($A65="","",IF(Jan!AU38="",0,IF(Jan!AU38&lt;&gt;"OK",1,0))+IF(Feb!AU38="",0,IF(Feb!AU38&lt;&gt;"OK",1,0))+IF(Mar!AU38="",0,IF(Mar!AU38&lt;&gt;"OK",1,0))+IF(Apr!AU38="",0,IF(Apr!AU38&lt;&gt;"OK",1,0))+IF(May!AU38="",0,IF(May!AU38&lt;&gt;"OK",1,0))+IF(Jun!AU38="",0,IF(Jun!AU38&lt;&gt;"OK",1,0))+IF(Jul!AU38="",0,IF(Jul!AU38&lt;&gt;"OK",1,0))+IF(Aug!AU38="",0,IF(Aug!AU38&lt;&gt;"OK",1,0))+IF(Sep!AU38="",0,IF(Sep!AU38&lt;&gt;"OK",1,0))+IF(Oct!AU38="",0,IF(Oct!AU38&lt;&gt;"OK",1,0))+IF(Nov!AU38="",0,IF(Nov!AU38&lt;&gt;"OK",1,0))+IF(Dec!AU38="",0,IF(Dec!AU38&lt;&gt;"OK",1,0)))</f>
        <v/>
      </c>
      <c r="P65" s="70">
        <f>IF($A65="","",IF(OR(Jan!AU38="CRITICAL",Feb!AU38="CRITICAL",Mar!AU38="CRITICAL",Apr!AU38="CRITICAL",May!AU38="CRITICAL",Jun!AU38="CRITICAL",Jul!AU38="CRITICAL",Aug!AU38="CRITICAL",Sep!AU38="CRITICAL",Oct!AU38="CRITICAL",Nov!AU38="CRITICAL",Dec!AU38="CRITICAL",$G65&gt;=2),"CRITICAL",IF(OR($G65&gt;0,$O65&gt;0,$N65&lt;0.95),"REVIEW","OK")))</f>
        <v/>
      </c>
    </row>
    <row r="66" ht="18" customHeight="1" s="57">
      <c r="A66" s="70">
        <f>IF('Employee Master'!A39="","",'Employee Master'!A39)</f>
        <v/>
      </c>
      <c r="B66" s="63">
        <f>IF($A66="","",'Employee Master'!B39)</f>
        <v/>
      </c>
      <c r="C66" s="70">
        <f>IF($A66="","",'Employee Master'!C39)</f>
        <v/>
      </c>
      <c r="D66" s="70">
        <f>IF($A66="","",$B$5)</f>
        <v/>
      </c>
      <c r="E66" s="70">
        <f>IF($A66="","",Jan!AI39+Feb!AI39+Mar!AI39+Apr!AI39+May!AI39+Jun!AI39+Jul!AI39+Aug!AI39+Sep!AI39+Oct!AI39+Nov!AI39+Dec!AI39)</f>
        <v/>
      </c>
      <c r="F66" s="70">
        <f>IF($A66="","",Jan!AJ39+Feb!AJ39+Mar!AJ39+Apr!AJ39+May!AJ39+Jun!AJ39+Jul!AJ39+Aug!AJ39+Sep!AJ39+Oct!AJ39+Nov!AJ39+Dec!AJ39)</f>
        <v/>
      </c>
      <c r="G66" s="70">
        <f>IF($A66="","",Jan!AK39+Feb!AK39+Mar!AK39+Apr!AK39+May!AK39+Jun!AK39+Jul!AK39+Aug!AK39+Sep!AK39+Oct!AK39+Nov!AK39+Dec!AK39)</f>
        <v/>
      </c>
      <c r="H66" s="70">
        <f>IF($A66="","",Jan!AL39+Feb!AL39+Mar!AL39+Apr!AL39+May!AL39+Jun!AL39+Jul!AL39+Aug!AL39+Sep!AL39+Oct!AL39+Nov!AL39+Dec!AL39)</f>
        <v/>
      </c>
      <c r="I66" s="70">
        <f>IF($A66="","",Jan!AM39+Feb!AM39+Mar!AM39+Apr!AM39+May!AM39+Jun!AM39+Jul!AM39+Aug!AM39+Sep!AM39+Oct!AM39+Nov!AM39+Dec!AM39)</f>
        <v/>
      </c>
      <c r="J66" s="70">
        <f>IF($A66="","",Jan!AN39+Feb!AN39+Mar!AN39+Apr!AN39+May!AN39+Jun!AN39+Jul!AN39+Aug!AN39+Sep!AN39+Oct!AN39+Nov!AN39+Dec!AN39)</f>
        <v/>
      </c>
      <c r="K66" s="70">
        <f>IF($A66="","",Jan!AO39+Feb!AO39+Mar!AO39+Apr!AO39+May!AO39+Jun!AO39+Jul!AO39+Aug!AO39+Sep!AO39+Oct!AO39+Nov!AO39+Dec!AO39)</f>
        <v/>
      </c>
      <c r="L66" s="70">
        <f>IF($A66="","",Jan!AP39+Feb!AP39+Mar!AP39+Apr!AP39+May!AP39+Jun!AP39+Jul!AP39+Aug!AP39+Sep!AP39+Oct!AP39+Nov!AP39+Dec!AP39)</f>
        <v/>
      </c>
      <c r="M66" s="90">
        <f>IF(OR($A66="",$D66=0),"",$E66/$D66)</f>
        <v/>
      </c>
      <c r="N66" s="90">
        <f>IF(OR($A66="",$D66=0),"",($E66+$F66)/$D66)</f>
        <v/>
      </c>
      <c r="O66" s="70">
        <f>IF($A66="","",IF(Jan!AU39="",0,IF(Jan!AU39&lt;&gt;"OK",1,0))+IF(Feb!AU39="",0,IF(Feb!AU39&lt;&gt;"OK",1,0))+IF(Mar!AU39="",0,IF(Mar!AU39&lt;&gt;"OK",1,0))+IF(Apr!AU39="",0,IF(Apr!AU39&lt;&gt;"OK",1,0))+IF(May!AU39="",0,IF(May!AU39&lt;&gt;"OK",1,0))+IF(Jun!AU39="",0,IF(Jun!AU39&lt;&gt;"OK",1,0))+IF(Jul!AU39="",0,IF(Jul!AU39&lt;&gt;"OK",1,0))+IF(Aug!AU39="",0,IF(Aug!AU39&lt;&gt;"OK",1,0))+IF(Sep!AU39="",0,IF(Sep!AU39&lt;&gt;"OK",1,0))+IF(Oct!AU39="",0,IF(Oct!AU39&lt;&gt;"OK",1,0))+IF(Nov!AU39="",0,IF(Nov!AU39&lt;&gt;"OK",1,0))+IF(Dec!AU39="",0,IF(Dec!AU39&lt;&gt;"OK",1,0)))</f>
        <v/>
      </c>
      <c r="P66" s="70">
        <f>IF($A66="","",IF(OR(Jan!AU39="CRITICAL",Feb!AU39="CRITICAL",Mar!AU39="CRITICAL",Apr!AU39="CRITICAL",May!AU39="CRITICAL",Jun!AU39="CRITICAL",Jul!AU39="CRITICAL",Aug!AU39="CRITICAL",Sep!AU39="CRITICAL",Oct!AU39="CRITICAL",Nov!AU39="CRITICAL",Dec!AU39="CRITICAL",$G66&gt;=2),"CRITICAL",IF(OR($G66&gt;0,$O66&gt;0,$N66&lt;0.95),"REVIEW","OK")))</f>
        <v/>
      </c>
    </row>
    <row r="67" ht="18" customHeight="1" s="57">
      <c r="A67" s="70">
        <f>IF('Employee Master'!A40="","",'Employee Master'!A40)</f>
        <v/>
      </c>
      <c r="B67" s="63">
        <f>IF($A67="","",'Employee Master'!B40)</f>
        <v/>
      </c>
      <c r="C67" s="70">
        <f>IF($A67="","",'Employee Master'!C40)</f>
        <v/>
      </c>
      <c r="D67" s="70">
        <f>IF($A67="","",$B$5)</f>
        <v/>
      </c>
      <c r="E67" s="70">
        <f>IF($A67="","",Jan!AI40+Feb!AI40+Mar!AI40+Apr!AI40+May!AI40+Jun!AI40+Jul!AI40+Aug!AI40+Sep!AI40+Oct!AI40+Nov!AI40+Dec!AI40)</f>
        <v/>
      </c>
      <c r="F67" s="70">
        <f>IF($A67="","",Jan!AJ40+Feb!AJ40+Mar!AJ40+Apr!AJ40+May!AJ40+Jun!AJ40+Jul!AJ40+Aug!AJ40+Sep!AJ40+Oct!AJ40+Nov!AJ40+Dec!AJ40)</f>
        <v/>
      </c>
      <c r="G67" s="70">
        <f>IF($A67="","",Jan!AK40+Feb!AK40+Mar!AK40+Apr!AK40+May!AK40+Jun!AK40+Jul!AK40+Aug!AK40+Sep!AK40+Oct!AK40+Nov!AK40+Dec!AK40)</f>
        <v/>
      </c>
      <c r="H67" s="70">
        <f>IF($A67="","",Jan!AL40+Feb!AL40+Mar!AL40+Apr!AL40+May!AL40+Jun!AL40+Jul!AL40+Aug!AL40+Sep!AL40+Oct!AL40+Nov!AL40+Dec!AL40)</f>
        <v/>
      </c>
      <c r="I67" s="70">
        <f>IF($A67="","",Jan!AM40+Feb!AM40+Mar!AM40+Apr!AM40+May!AM40+Jun!AM40+Jul!AM40+Aug!AM40+Sep!AM40+Oct!AM40+Nov!AM40+Dec!AM40)</f>
        <v/>
      </c>
      <c r="J67" s="70">
        <f>IF($A67="","",Jan!AN40+Feb!AN40+Mar!AN40+Apr!AN40+May!AN40+Jun!AN40+Jul!AN40+Aug!AN40+Sep!AN40+Oct!AN40+Nov!AN40+Dec!AN40)</f>
        <v/>
      </c>
      <c r="K67" s="70">
        <f>IF($A67="","",Jan!AO40+Feb!AO40+Mar!AO40+Apr!AO40+May!AO40+Jun!AO40+Jul!AO40+Aug!AO40+Sep!AO40+Oct!AO40+Nov!AO40+Dec!AO40)</f>
        <v/>
      </c>
      <c r="L67" s="70">
        <f>IF($A67="","",Jan!AP40+Feb!AP40+Mar!AP40+Apr!AP40+May!AP40+Jun!AP40+Jul!AP40+Aug!AP40+Sep!AP40+Oct!AP40+Nov!AP40+Dec!AP40)</f>
        <v/>
      </c>
      <c r="M67" s="90">
        <f>IF(OR($A67="",$D67=0),"",$E67/$D67)</f>
        <v/>
      </c>
      <c r="N67" s="90">
        <f>IF(OR($A67="",$D67=0),"",($E67+$F67)/$D67)</f>
        <v/>
      </c>
      <c r="O67" s="70">
        <f>IF($A67="","",IF(Jan!AU40="",0,IF(Jan!AU40&lt;&gt;"OK",1,0))+IF(Feb!AU40="",0,IF(Feb!AU40&lt;&gt;"OK",1,0))+IF(Mar!AU40="",0,IF(Mar!AU40&lt;&gt;"OK",1,0))+IF(Apr!AU40="",0,IF(Apr!AU40&lt;&gt;"OK",1,0))+IF(May!AU40="",0,IF(May!AU40&lt;&gt;"OK",1,0))+IF(Jun!AU40="",0,IF(Jun!AU40&lt;&gt;"OK",1,0))+IF(Jul!AU40="",0,IF(Jul!AU40&lt;&gt;"OK",1,0))+IF(Aug!AU40="",0,IF(Aug!AU40&lt;&gt;"OK",1,0))+IF(Sep!AU40="",0,IF(Sep!AU40&lt;&gt;"OK",1,0))+IF(Oct!AU40="",0,IF(Oct!AU40&lt;&gt;"OK",1,0))+IF(Nov!AU40="",0,IF(Nov!AU40&lt;&gt;"OK",1,0))+IF(Dec!AU40="",0,IF(Dec!AU40&lt;&gt;"OK",1,0)))</f>
        <v/>
      </c>
      <c r="P67" s="70">
        <f>IF($A67="","",IF(OR(Jan!AU40="CRITICAL",Feb!AU40="CRITICAL",Mar!AU40="CRITICAL",Apr!AU40="CRITICAL",May!AU40="CRITICAL",Jun!AU40="CRITICAL",Jul!AU40="CRITICAL",Aug!AU40="CRITICAL",Sep!AU40="CRITICAL",Oct!AU40="CRITICAL",Nov!AU40="CRITICAL",Dec!AU40="CRITICAL",$G67&gt;=2),"CRITICAL",IF(OR($G67&gt;0,$O67&gt;0,$N67&lt;0.95),"REVIEW","OK")))</f>
        <v/>
      </c>
    </row>
    <row r="68" ht="18" customHeight="1" s="57">
      <c r="A68" s="70">
        <f>IF('Employee Master'!A41="","",'Employee Master'!A41)</f>
        <v/>
      </c>
      <c r="B68" s="63">
        <f>IF($A68="","",'Employee Master'!B41)</f>
        <v/>
      </c>
      <c r="C68" s="70">
        <f>IF($A68="","",'Employee Master'!C41)</f>
        <v/>
      </c>
      <c r="D68" s="70">
        <f>IF($A68="","",$B$5)</f>
        <v/>
      </c>
      <c r="E68" s="70">
        <f>IF($A68="","",Jan!AI41+Feb!AI41+Mar!AI41+Apr!AI41+May!AI41+Jun!AI41+Jul!AI41+Aug!AI41+Sep!AI41+Oct!AI41+Nov!AI41+Dec!AI41)</f>
        <v/>
      </c>
      <c r="F68" s="70">
        <f>IF($A68="","",Jan!AJ41+Feb!AJ41+Mar!AJ41+Apr!AJ41+May!AJ41+Jun!AJ41+Jul!AJ41+Aug!AJ41+Sep!AJ41+Oct!AJ41+Nov!AJ41+Dec!AJ41)</f>
        <v/>
      </c>
      <c r="G68" s="70">
        <f>IF($A68="","",Jan!AK41+Feb!AK41+Mar!AK41+Apr!AK41+May!AK41+Jun!AK41+Jul!AK41+Aug!AK41+Sep!AK41+Oct!AK41+Nov!AK41+Dec!AK41)</f>
        <v/>
      </c>
      <c r="H68" s="70">
        <f>IF($A68="","",Jan!AL41+Feb!AL41+Mar!AL41+Apr!AL41+May!AL41+Jun!AL41+Jul!AL41+Aug!AL41+Sep!AL41+Oct!AL41+Nov!AL41+Dec!AL41)</f>
        <v/>
      </c>
      <c r="I68" s="70">
        <f>IF($A68="","",Jan!AM41+Feb!AM41+Mar!AM41+Apr!AM41+May!AM41+Jun!AM41+Jul!AM41+Aug!AM41+Sep!AM41+Oct!AM41+Nov!AM41+Dec!AM41)</f>
        <v/>
      </c>
      <c r="J68" s="70">
        <f>IF($A68="","",Jan!AN41+Feb!AN41+Mar!AN41+Apr!AN41+May!AN41+Jun!AN41+Jul!AN41+Aug!AN41+Sep!AN41+Oct!AN41+Nov!AN41+Dec!AN41)</f>
        <v/>
      </c>
      <c r="K68" s="70">
        <f>IF($A68="","",Jan!AO41+Feb!AO41+Mar!AO41+Apr!AO41+May!AO41+Jun!AO41+Jul!AO41+Aug!AO41+Sep!AO41+Oct!AO41+Nov!AO41+Dec!AO41)</f>
        <v/>
      </c>
      <c r="L68" s="70">
        <f>IF($A68="","",Jan!AP41+Feb!AP41+Mar!AP41+Apr!AP41+May!AP41+Jun!AP41+Jul!AP41+Aug!AP41+Sep!AP41+Oct!AP41+Nov!AP41+Dec!AP41)</f>
        <v/>
      </c>
      <c r="M68" s="90">
        <f>IF(OR($A68="",$D68=0),"",$E68/$D68)</f>
        <v/>
      </c>
      <c r="N68" s="90">
        <f>IF(OR($A68="",$D68=0),"",($E68+$F68)/$D68)</f>
        <v/>
      </c>
      <c r="O68" s="70">
        <f>IF($A68="","",IF(Jan!AU41="",0,IF(Jan!AU41&lt;&gt;"OK",1,0))+IF(Feb!AU41="",0,IF(Feb!AU41&lt;&gt;"OK",1,0))+IF(Mar!AU41="",0,IF(Mar!AU41&lt;&gt;"OK",1,0))+IF(Apr!AU41="",0,IF(Apr!AU41&lt;&gt;"OK",1,0))+IF(May!AU41="",0,IF(May!AU41&lt;&gt;"OK",1,0))+IF(Jun!AU41="",0,IF(Jun!AU41&lt;&gt;"OK",1,0))+IF(Jul!AU41="",0,IF(Jul!AU41&lt;&gt;"OK",1,0))+IF(Aug!AU41="",0,IF(Aug!AU41&lt;&gt;"OK",1,0))+IF(Sep!AU41="",0,IF(Sep!AU41&lt;&gt;"OK",1,0))+IF(Oct!AU41="",0,IF(Oct!AU41&lt;&gt;"OK",1,0))+IF(Nov!AU41="",0,IF(Nov!AU41&lt;&gt;"OK",1,0))+IF(Dec!AU41="",0,IF(Dec!AU41&lt;&gt;"OK",1,0)))</f>
        <v/>
      </c>
      <c r="P68" s="70">
        <f>IF($A68="","",IF(OR(Jan!AU41="CRITICAL",Feb!AU41="CRITICAL",Mar!AU41="CRITICAL",Apr!AU41="CRITICAL",May!AU41="CRITICAL",Jun!AU41="CRITICAL",Jul!AU41="CRITICAL",Aug!AU41="CRITICAL",Sep!AU41="CRITICAL",Oct!AU41="CRITICAL",Nov!AU41="CRITICAL",Dec!AU41="CRITICAL",$G68&gt;=2),"CRITICAL",IF(OR($G68&gt;0,$O68&gt;0,$N68&lt;0.95),"REVIEW","OK")))</f>
        <v/>
      </c>
    </row>
    <row r="69" ht="18" customHeight="1" s="57">
      <c r="A69" s="70">
        <f>IF('Employee Master'!A42="","",'Employee Master'!A42)</f>
        <v/>
      </c>
      <c r="B69" s="63">
        <f>IF($A69="","",'Employee Master'!B42)</f>
        <v/>
      </c>
      <c r="C69" s="70">
        <f>IF($A69="","",'Employee Master'!C42)</f>
        <v/>
      </c>
      <c r="D69" s="70">
        <f>IF($A69="","",$B$5)</f>
        <v/>
      </c>
      <c r="E69" s="70">
        <f>IF($A69="","",Jan!AI42+Feb!AI42+Mar!AI42+Apr!AI42+May!AI42+Jun!AI42+Jul!AI42+Aug!AI42+Sep!AI42+Oct!AI42+Nov!AI42+Dec!AI42)</f>
        <v/>
      </c>
      <c r="F69" s="70">
        <f>IF($A69="","",Jan!AJ42+Feb!AJ42+Mar!AJ42+Apr!AJ42+May!AJ42+Jun!AJ42+Jul!AJ42+Aug!AJ42+Sep!AJ42+Oct!AJ42+Nov!AJ42+Dec!AJ42)</f>
        <v/>
      </c>
      <c r="G69" s="70">
        <f>IF($A69="","",Jan!AK42+Feb!AK42+Mar!AK42+Apr!AK42+May!AK42+Jun!AK42+Jul!AK42+Aug!AK42+Sep!AK42+Oct!AK42+Nov!AK42+Dec!AK42)</f>
        <v/>
      </c>
      <c r="H69" s="70">
        <f>IF($A69="","",Jan!AL42+Feb!AL42+Mar!AL42+Apr!AL42+May!AL42+Jun!AL42+Jul!AL42+Aug!AL42+Sep!AL42+Oct!AL42+Nov!AL42+Dec!AL42)</f>
        <v/>
      </c>
      <c r="I69" s="70">
        <f>IF($A69="","",Jan!AM42+Feb!AM42+Mar!AM42+Apr!AM42+May!AM42+Jun!AM42+Jul!AM42+Aug!AM42+Sep!AM42+Oct!AM42+Nov!AM42+Dec!AM42)</f>
        <v/>
      </c>
      <c r="J69" s="70">
        <f>IF($A69="","",Jan!AN42+Feb!AN42+Mar!AN42+Apr!AN42+May!AN42+Jun!AN42+Jul!AN42+Aug!AN42+Sep!AN42+Oct!AN42+Nov!AN42+Dec!AN42)</f>
        <v/>
      </c>
      <c r="K69" s="70">
        <f>IF($A69="","",Jan!AO42+Feb!AO42+Mar!AO42+Apr!AO42+May!AO42+Jun!AO42+Jul!AO42+Aug!AO42+Sep!AO42+Oct!AO42+Nov!AO42+Dec!AO42)</f>
        <v/>
      </c>
      <c r="L69" s="70">
        <f>IF($A69="","",Jan!AP42+Feb!AP42+Mar!AP42+Apr!AP42+May!AP42+Jun!AP42+Jul!AP42+Aug!AP42+Sep!AP42+Oct!AP42+Nov!AP42+Dec!AP42)</f>
        <v/>
      </c>
      <c r="M69" s="90">
        <f>IF(OR($A69="",$D69=0),"",$E69/$D69)</f>
        <v/>
      </c>
      <c r="N69" s="90">
        <f>IF(OR($A69="",$D69=0),"",($E69+$F69)/$D69)</f>
        <v/>
      </c>
      <c r="O69" s="70">
        <f>IF($A69="","",IF(Jan!AU42="",0,IF(Jan!AU42&lt;&gt;"OK",1,0))+IF(Feb!AU42="",0,IF(Feb!AU42&lt;&gt;"OK",1,0))+IF(Mar!AU42="",0,IF(Mar!AU42&lt;&gt;"OK",1,0))+IF(Apr!AU42="",0,IF(Apr!AU42&lt;&gt;"OK",1,0))+IF(May!AU42="",0,IF(May!AU42&lt;&gt;"OK",1,0))+IF(Jun!AU42="",0,IF(Jun!AU42&lt;&gt;"OK",1,0))+IF(Jul!AU42="",0,IF(Jul!AU42&lt;&gt;"OK",1,0))+IF(Aug!AU42="",0,IF(Aug!AU42&lt;&gt;"OK",1,0))+IF(Sep!AU42="",0,IF(Sep!AU42&lt;&gt;"OK",1,0))+IF(Oct!AU42="",0,IF(Oct!AU42&lt;&gt;"OK",1,0))+IF(Nov!AU42="",0,IF(Nov!AU42&lt;&gt;"OK",1,0))+IF(Dec!AU42="",0,IF(Dec!AU42&lt;&gt;"OK",1,0)))</f>
        <v/>
      </c>
      <c r="P69" s="70">
        <f>IF($A69="","",IF(OR(Jan!AU42="CRITICAL",Feb!AU42="CRITICAL",Mar!AU42="CRITICAL",Apr!AU42="CRITICAL",May!AU42="CRITICAL",Jun!AU42="CRITICAL",Jul!AU42="CRITICAL",Aug!AU42="CRITICAL",Sep!AU42="CRITICAL",Oct!AU42="CRITICAL",Nov!AU42="CRITICAL",Dec!AU42="CRITICAL",$G69&gt;=2),"CRITICAL",IF(OR($G69&gt;0,$O69&gt;0,$N69&lt;0.95),"REVIEW","OK")))</f>
        <v/>
      </c>
    </row>
    <row r="70" ht="18" customHeight="1" s="57">
      <c r="A70" s="70">
        <f>IF('Employee Master'!A43="","",'Employee Master'!A43)</f>
        <v/>
      </c>
      <c r="B70" s="63">
        <f>IF($A70="","",'Employee Master'!B43)</f>
        <v/>
      </c>
      <c r="C70" s="70">
        <f>IF($A70="","",'Employee Master'!C43)</f>
        <v/>
      </c>
      <c r="D70" s="70">
        <f>IF($A70="","",$B$5)</f>
        <v/>
      </c>
      <c r="E70" s="70">
        <f>IF($A70="","",Jan!AI43+Feb!AI43+Mar!AI43+Apr!AI43+May!AI43+Jun!AI43+Jul!AI43+Aug!AI43+Sep!AI43+Oct!AI43+Nov!AI43+Dec!AI43)</f>
        <v/>
      </c>
      <c r="F70" s="70">
        <f>IF($A70="","",Jan!AJ43+Feb!AJ43+Mar!AJ43+Apr!AJ43+May!AJ43+Jun!AJ43+Jul!AJ43+Aug!AJ43+Sep!AJ43+Oct!AJ43+Nov!AJ43+Dec!AJ43)</f>
        <v/>
      </c>
      <c r="G70" s="70">
        <f>IF($A70="","",Jan!AK43+Feb!AK43+Mar!AK43+Apr!AK43+May!AK43+Jun!AK43+Jul!AK43+Aug!AK43+Sep!AK43+Oct!AK43+Nov!AK43+Dec!AK43)</f>
        <v/>
      </c>
      <c r="H70" s="70">
        <f>IF($A70="","",Jan!AL43+Feb!AL43+Mar!AL43+Apr!AL43+May!AL43+Jun!AL43+Jul!AL43+Aug!AL43+Sep!AL43+Oct!AL43+Nov!AL43+Dec!AL43)</f>
        <v/>
      </c>
      <c r="I70" s="70">
        <f>IF($A70="","",Jan!AM43+Feb!AM43+Mar!AM43+Apr!AM43+May!AM43+Jun!AM43+Jul!AM43+Aug!AM43+Sep!AM43+Oct!AM43+Nov!AM43+Dec!AM43)</f>
        <v/>
      </c>
      <c r="J70" s="70">
        <f>IF($A70="","",Jan!AN43+Feb!AN43+Mar!AN43+Apr!AN43+May!AN43+Jun!AN43+Jul!AN43+Aug!AN43+Sep!AN43+Oct!AN43+Nov!AN43+Dec!AN43)</f>
        <v/>
      </c>
      <c r="K70" s="70">
        <f>IF($A70="","",Jan!AO43+Feb!AO43+Mar!AO43+Apr!AO43+May!AO43+Jun!AO43+Jul!AO43+Aug!AO43+Sep!AO43+Oct!AO43+Nov!AO43+Dec!AO43)</f>
        <v/>
      </c>
      <c r="L70" s="70">
        <f>IF($A70="","",Jan!AP43+Feb!AP43+Mar!AP43+Apr!AP43+May!AP43+Jun!AP43+Jul!AP43+Aug!AP43+Sep!AP43+Oct!AP43+Nov!AP43+Dec!AP43)</f>
        <v/>
      </c>
      <c r="M70" s="90">
        <f>IF(OR($A70="",$D70=0),"",$E70/$D70)</f>
        <v/>
      </c>
      <c r="N70" s="90">
        <f>IF(OR($A70="",$D70=0),"",($E70+$F70)/$D70)</f>
        <v/>
      </c>
      <c r="O70" s="70">
        <f>IF($A70="","",IF(Jan!AU43="",0,IF(Jan!AU43&lt;&gt;"OK",1,0))+IF(Feb!AU43="",0,IF(Feb!AU43&lt;&gt;"OK",1,0))+IF(Mar!AU43="",0,IF(Mar!AU43&lt;&gt;"OK",1,0))+IF(Apr!AU43="",0,IF(Apr!AU43&lt;&gt;"OK",1,0))+IF(May!AU43="",0,IF(May!AU43&lt;&gt;"OK",1,0))+IF(Jun!AU43="",0,IF(Jun!AU43&lt;&gt;"OK",1,0))+IF(Jul!AU43="",0,IF(Jul!AU43&lt;&gt;"OK",1,0))+IF(Aug!AU43="",0,IF(Aug!AU43&lt;&gt;"OK",1,0))+IF(Sep!AU43="",0,IF(Sep!AU43&lt;&gt;"OK",1,0))+IF(Oct!AU43="",0,IF(Oct!AU43&lt;&gt;"OK",1,0))+IF(Nov!AU43="",0,IF(Nov!AU43&lt;&gt;"OK",1,0))+IF(Dec!AU43="",0,IF(Dec!AU43&lt;&gt;"OK",1,0)))</f>
        <v/>
      </c>
      <c r="P70" s="70">
        <f>IF($A70="","",IF(OR(Jan!AU43="CRITICAL",Feb!AU43="CRITICAL",Mar!AU43="CRITICAL",Apr!AU43="CRITICAL",May!AU43="CRITICAL",Jun!AU43="CRITICAL",Jul!AU43="CRITICAL",Aug!AU43="CRITICAL",Sep!AU43="CRITICAL",Oct!AU43="CRITICAL",Nov!AU43="CRITICAL",Dec!AU43="CRITICAL",$G70&gt;=2),"CRITICAL",IF(OR($G70&gt;0,$O70&gt;0,$N70&lt;0.95),"REVIEW","OK")))</f>
        <v/>
      </c>
    </row>
    <row r="71" ht="18" customHeight="1" s="57">
      <c r="A71" s="70">
        <f>IF('Employee Master'!A44="","",'Employee Master'!A44)</f>
        <v/>
      </c>
      <c r="B71" s="63">
        <f>IF($A71="","",'Employee Master'!B44)</f>
        <v/>
      </c>
      <c r="C71" s="70">
        <f>IF($A71="","",'Employee Master'!C44)</f>
        <v/>
      </c>
      <c r="D71" s="70">
        <f>IF($A71="","",$B$5)</f>
        <v/>
      </c>
      <c r="E71" s="70">
        <f>IF($A71="","",Jan!AI44+Feb!AI44+Mar!AI44+Apr!AI44+May!AI44+Jun!AI44+Jul!AI44+Aug!AI44+Sep!AI44+Oct!AI44+Nov!AI44+Dec!AI44)</f>
        <v/>
      </c>
      <c r="F71" s="70">
        <f>IF($A71="","",Jan!AJ44+Feb!AJ44+Mar!AJ44+Apr!AJ44+May!AJ44+Jun!AJ44+Jul!AJ44+Aug!AJ44+Sep!AJ44+Oct!AJ44+Nov!AJ44+Dec!AJ44)</f>
        <v/>
      </c>
      <c r="G71" s="70">
        <f>IF($A71="","",Jan!AK44+Feb!AK44+Mar!AK44+Apr!AK44+May!AK44+Jun!AK44+Jul!AK44+Aug!AK44+Sep!AK44+Oct!AK44+Nov!AK44+Dec!AK44)</f>
        <v/>
      </c>
      <c r="H71" s="70">
        <f>IF($A71="","",Jan!AL44+Feb!AL44+Mar!AL44+Apr!AL44+May!AL44+Jun!AL44+Jul!AL44+Aug!AL44+Sep!AL44+Oct!AL44+Nov!AL44+Dec!AL44)</f>
        <v/>
      </c>
      <c r="I71" s="70">
        <f>IF($A71="","",Jan!AM44+Feb!AM44+Mar!AM44+Apr!AM44+May!AM44+Jun!AM44+Jul!AM44+Aug!AM44+Sep!AM44+Oct!AM44+Nov!AM44+Dec!AM44)</f>
        <v/>
      </c>
      <c r="J71" s="70">
        <f>IF($A71="","",Jan!AN44+Feb!AN44+Mar!AN44+Apr!AN44+May!AN44+Jun!AN44+Jul!AN44+Aug!AN44+Sep!AN44+Oct!AN44+Nov!AN44+Dec!AN44)</f>
        <v/>
      </c>
      <c r="K71" s="70">
        <f>IF($A71="","",Jan!AO44+Feb!AO44+Mar!AO44+Apr!AO44+May!AO44+Jun!AO44+Jul!AO44+Aug!AO44+Sep!AO44+Oct!AO44+Nov!AO44+Dec!AO44)</f>
        <v/>
      </c>
      <c r="L71" s="70">
        <f>IF($A71="","",Jan!AP44+Feb!AP44+Mar!AP44+Apr!AP44+May!AP44+Jun!AP44+Jul!AP44+Aug!AP44+Sep!AP44+Oct!AP44+Nov!AP44+Dec!AP44)</f>
        <v/>
      </c>
      <c r="M71" s="90">
        <f>IF(OR($A71="",$D71=0),"",$E71/$D71)</f>
        <v/>
      </c>
      <c r="N71" s="90">
        <f>IF(OR($A71="",$D71=0),"",($E71+$F71)/$D71)</f>
        <v/>
      </c>
      <c r="O71" s="70">
        <f>IF($A71="","",IF(Jan!AU44="",0,IF(Jan!AU44&lt;&gt;"OK",1,0))+IF(Feb!AU44="",0,IF(Feb!AU44&lt;&gt;"OK",1,0))+IF(Mar!AU44="",0,IF(Mar!AU44&lt;&gt;"OK",1,0))+IF(Apr!AU44="",0,IF(Apr!AU44&lt;&gt;"OK",1,0))+IF(May!AU44="",0,IF(May!AU44&lt;&gt;"OK",1,0))+IF(Jun!AU44="",0,IF(Jun!AU44&lt;&gt;"OK",1,0))+IF(Jul!AU44="",0,IF(Jul!AU44&lt;&gt;"OK",1,0))+IF(Aug!AU44="",0,IF(Aug!AU44&lt;&gt;"OK",1,0))+IF(Sep!AU44="",0,IF(Sep!AU44&lt;&gt;"OK",1,0))+IF(Oct!AU44="",0,IF(Oct!AU44&lt;&gt;"OK",1,0))+IF(Nov!AU44="",0,IF(Nov!AU44&lt;&gt;"OK",1,0))+IF(Dec!AU44="",0,IF(Dec!AU44&lt;&gt;"OK",1,0)))</f>
        <v/>
      </c>
      <c r="P71" s="70">
        <f>IF($A71="","",IF(OR(Jan!AU44="CRITICAL",Feb!AU44="CRITICAL",Mar!AU44="CRITICAL",Apr!AU44="CRITICAL",May!AU44="CRITICAL",Jun!AU44="CRITICAL",Jul!AU44="CRITICAL",Aug!AU44="CRITICAL",Sep!AU44="CRITICAL",Oct!AU44="CRITICAL",Nov!AU44="CRITICAL",Dec!AU44="CRITICAL",$G71&gt;=2),"CRITICAL",IF(OR($G71&gt;0,$O71&gt;0,$N71&lt;0.95),"REVIEW","OK")))</f>
        <v/>
      </c>
    </row>
    <row r="72" ht="18" customHeight="1" s="57">
      <c r="A72" s="70">
        <f>IF('Employee Master'!A45="","",'Employee Master'!A45)</f>
        <v/>
      </c>
      <c r="B72" s="63">
        <f>IF($A72="","",'Employee Master'!B45)</f>
        <v/>
      </c>
      <c r="C72" s="70">
        <f>IF($A72="","",'Employee Master'!C45)</f>
        <v/>
      </c>
      <c r="D72" s="70">
        <f>IF($A72="","",$B$5)</f>
        <v/>
      </c>
      <c r="E72" s="70">
        <f>IF($A72="","",Jan!AI45+Feb!AI45+Mar!AI45+Apr!AI45+May!AI45+Jun!AI45+Jul!AI45+Aug!AI45+Sep!AI45+Oct!AI45+Nov!AI45+Dec!AI45)</f>
        <v/>
      </c>
      <c r="F72" s="70">
        <f>IF($A72="","",Jan!AJ45+Feb!AJ45+Mar!AJ45+Apr!AJ45+May!AJ45+Jun!AJ45+Jul!AJ45+Aug!AJ45+Sep!AJ45+Oct!AJ45+Nov!AJ45+Dec!AJ45)</f>
        <v/>
      </c>
      <c r="G72" s="70">
        <f>IF($A72="","",Jan!AK45+Feb!AK45+Mar!AK45+Apr!AK45+May!AK45+Jun!AK45+Jul!AK45+Aug!AK45+Sep!AK45+Oct!AK45+Nov!AK45+Dec!AK45)</f>
        <v/>
      </c>
      <c r="H72" s="70">
        <f>IF($A72="","",Jan!AL45+Feb!AL45+Mar!AL45+Apr!AL45+May!AL45+Jun!AL45+Jul!AL45+Aug!AL45+Sep!AL45+Oct!AL45+Nov!AL45+Dec!AL45)</f>
        <v/>
      </c>
      <c r="I72" s="70">
        <f>IF($A72="","",Jan!AM45+Feb!AM45+Mar!AM45+Apr!AM45+May!AM45+Jun!AM45+Jul!AM45+Aug!AM45+Sep!AM45+Oct!AM45+Nov!AM45+Dec!AM45)</f>
        <v/>
      </c>
      <c r="J72" s="70">
        <f>IF($A72="","",Jan!AN45+Feb!AN45+Mar!AN45+Apr!AN45+May!AN45+Jun!AN45+Jul!AN45+Aug!AN45+Sep!AN45+Oct!AN45+Nov!AN45+Dec!AN45)</f>
        <v/>
      </c>
      <c r="K72" s="70">
        <f>IF($A72="","",Jan!AO45+Feb!AO45+Mar!AO45+Apr!AO45+May!AO45+Jun!AO45+Jul!AO45+Aug!AO45+Sep!AO45+Oct!AO45+Nov!AO45+Dec!AO45)</f>
        <v/>
      </c>
      <c r="L72" s="70">
        <f>IF($A72="","",Jan!AP45+Feb!AP45+Mar!AP45+Apr!AP45+May!AP45+Jun!AP45+Jul!AP45+Aug!AP45+Sep!AP45+Oct!AP45+Nov!AP45+Dec!AP45)</f>
        <v/>
      </c>
      <c r="M72" s="90">
        <f>IF(OR($A72="",$D72=0),"",$E72/$D72)</f>
        <v/>
      </c>
      <c r="N72" s="90">
        <f>IF(OR($A72="",$D72=0),"",($E72+$F72)/$D72)</f>
        <v/>
      </c>
      <c r="O72" s="70">
        <f>IF($A72="","",IF(Jan!AU45="",0,IF(Jan!AU45&lt;&gt;"OK",1,0))+IF(Feb!AU45="",0,IF(Feb!AU45&lt;&gt;"OK",1,0))+IF(Mar!AU45="",0,IF(Mar!AU45&lt;&gt;"OK",1,0))+IF(Apr!AU45="",0,IF(Apr!AU45&lt;&gt;"OK",1,0))+IF(May!AU45="",0,IF(May!AU45&lt;&gt;"OK",1,0))+IF(Jun!AU45="",0,IF(Jun!AU45&lt;&gt;"OK",1,0))+IF(Jul!AU45="",0,IF(Jul!AU45&lt;&gt;"OK",1,0))+IF(Aug!AU45="",0,IF(Aug!AU45&lt;&gt;"OK",1,0))+IF(Sep!AU45="",0,IF(Sep!AU45&lt;&gt;"OK",1,0))+IF(Oct!AU45="",0,IF(Oct!AU45&lt;&gt;"OK",1,0))+IF(Nov!AU45="",0,IF(Nov!AU45&lt;&gt;"OK",1,0))+IF(Dec!AU45="",0,IF(Dec!AU45&lt;&gt;"OK",1,0)))</f>
        <v/>
      </c>
      <c r="P72" s="70">
        <f>IF($A72="","",IF(OR(Jan!AU45="CRITICAL",Feb!AU45="CRITICAL",Mar!AU45="CRITICAL",Apr!AU45="CRITICAL",May!AU45="CRITICAL",Jun!AU45="CRITICAL",Jul!AU45="CRITICAL",Aug!AU45="CRITICAL",Sep!AU45="CRITICAL",Oct!AU45="CRITICAL",Nov!AU45="CRITICAL",Dec!AU45="CRITICAL",$G72&gt;=2),"CRITICAL",IF(OR($G72&gt;0,$O72&gt;0,$N72&lt;0.95),"REVIEW","OK")))</f>
        <v/>
      </c>
    </row>
    <row r="73" ht="18" customHeight="1" s="57">
      <c r="A73" s="70">
        <f>IF('Employee Master'!A46="","",'Employee Master'!A46)</f>
        <v/>
      </c>
      <c r="B73" s="63">
        <f>IF($A73="","",'Employee Master'!B46)</f>
        <v/>
      </c>
      <c r="C73" s="70">
        <f>IF($A73="","",'Employee Master'!C46)</f>
        <v/>
      </c>
      <c r="D73" s="70">
        <f>IF($A73="","",$B$5)</f>
        <v/>
      </c>
      <c r="E73" s="70">
        <f>IF($A73="","",Jan!AI46+Feb!AI46+Mar!AI46+Apr!AI46+May!AI46+Jun!AI46+Jul!AI46+Aug!AI46+Sep!AI46+Oct!AI46+Nov!AI46+Dec!AI46)</f>
        <v/>
      </c>
      <c r="F73" s="70">
        <f>IF($A73="","",Jan!AJ46+Feb!AJ46+Mar!AJ46+Apr!AJ46+May!AJ46+Jun!AJ46+Jul!AJ46+Aug!AJ46+Sep!AJ46+Oct!AJ46+Nov!AJ46+Dec!AJ46)</f>
        <v/>
      </c>
      <c r="G73" s="70">
        <f>IF($A73="","",Jan!AK46+Feb!AK46+Mar!AK46+Apr!AK46+May!AK46+Jun!AK46+Jul!AK46+Aug!AK46+Sep!AK46+Oct!AK46+Nov!AK46+Dec!AK46)</f>
        <v/>
      </c>
      <c r="H73" s="70">
        <f>IF($A73="","",Jan!AL46+Feb!AL46+Mar!AL46+Apr!AL46+May!AL46+Jun!AL46+Jul!AL46+Aug!AL46+Sep!AL46+Oct!AL46+Nov!AL46+Dec!AL46)</f>
        <v/>
      </c>
      <c r="I73" s="70">
        <f>IF($A73="","",Jan!AM46+Feb!AM46+Mar!AM46+Apr!AM46+May!AM46+Jun!AM46+Jul!AM46+Aug!AM46+Sep!AM46+Oct!AM46+Nov!AM46+Dec!AM46)</f>
        <v/>
      </c>
      <c r="J73" s="70">
        <f>IF($A73="","",Jan!AN46+Feb!AN46+Mar!AN46+Apr!AN46+May!AN46+Jun!AN46+Jul!AN46+Aug!AN46+Sep!AN46+Oct!AN46+Nov!AN46+Dec!AN46)</f>
        <v/>
      </c>
      <c r="K73" s="70">
        <f>IF($A73="","",Jan!AO46+Feb!AO46+Mar!AO46+Apr!AO46+May!AO46+Jun!AO46+Jul!AO46+Aug!AO46+Sep!AO46+Oct!AO46+Nov!AO46+Dec!AO46)</f>
        <v/>
      </c>
      <c r="L73" s="70">
        <f>IF($A73="","",Jan!AP46+Feb!AP46+Mar!AP46+Apr!AP46+May!AP46+Jun!AP46+Jul!AP46+Aug!AP46+Sep!AP46+Oct!AP46+Nov!AP46+Dec!AP46)</f>
        <v/>
      </c>
      <c r="M73" s="90">
        <f>IF(OR($A73="",$D73=0),"",$E73/$D73)</f>
        <v/>
      </c>
      <c r="N73" s="90">
        <f>IF(OR($A73="",$D73=0),"",($E73+$F73)/$D73)</f>
        <v/>
      </c>
      <c r="O73" s="70">
        <f>IF($A73="","",IF(Jan!AU46="",0,IF(Jan!AU46&lt;&gt;"OK",1,0))+IF(Feb!AU46="",0,IF(Feb!AU46&lt;&gt;"OK",1,0))+IF(Mar!AU46="",0,IF(Mar!AU46&lt;&gt;"OK",1,0))+IF(Apr!AU46="",0,IF(Apr!AU46&lt;&gt;"OK",1,0))+IF(May!AU46="",0,IF(May!AU46&lt;&gt;"OK",1,0))+IF(Jun!AU46="",0,IF(Jun!AU46&lt;&gt;"OK",1,0))+IF(Jul!AU46="",0,IF(Jul!AU46&lt;&gt;"OK",1,0))+IF(Aug!AU46="",0,IF(Aug!AU46&lt;&gt;"OK",1,0))+IF(Sep!AU46="",0,IF(Sep!AU46&lt;&gt;"OK",1,0))+IF(Oct!AU46="",0,IF(Oct!AU46&lt;&gt;"OK",1,0))+IF(Nov!AU46="",0,IF(Nov!AU46&lt;&gt;"OK",1,0))+IF(Dec!AU46="",0,IF(Dec!AU46&lt;&gt;"OK",1,0)))</f>
        <v/>
      </c>
      <c r="P73" s="70">
        <f>IF($A73="","",IF(OR(Jan!AU46="CRITICAL",Feb!AU46="CRITICAL",Mar!AU46="CRITICAL",Apr!AU46="CRITICAL",May!AU46="CRITICAL",Jun!AU46="CRITICAL",Jul!AU46="CRITICAL",Aug!AU46="CRITICAL",Sep!AU46="CRITICAL",Oct!AU46="CRITICAL",Nov!AU46="CRITICAL",Dec!AU46="CRITICAL",$G73&gt;=2),"CRITICAL",IF(OR($G73&gt;0,$O73&gt;0,$N73&lt;0.95),"REVIEW","OK")))</f>
        <v/>
      </c>
    </row>
    <row r="74" ht="18" customHeight="1" s="57">
      <c r="A74" s="70">
        <f>IF('Employee Master'!A47="","",'Employee Master'!A47)</f>
        <v/>
      </c>
      <c r="B74" s="63">
        <f>IF($A74="","",'Employee Master'!B47)</f>
        <v/>
      </c>
      <c r="C74" s="70">
        <f>IF($A74="","",'Employee Master'!C47)</f>
        <v/>
      </c>
      <c r="D74" s="70">
        <f>IF($A74="","",$B$5)</f>
        <v/>
      </c>
      <c r="E74" s="70">
        <f>IF($A74="","",Jan!AI47+Feb!AI47+Mar!AI47+Apr!AI47+May!AI47+Jun!AI47+Jul!AI47+Aug!AI47+Sep!AI47+Oct!AI47+Nov!AI47+Dec!AI47)</f>
        <v/>
      </c>
      <c r="F74" s="70">
        <f>IF($A74="","",Jan!AJ47+Feb!AJ47+Mar!AJ47+Apr!AJ47+May!AJ47+Jun!AJ47+Jul!AJ47+Aug!AJ47+Sep!AJ47+Oct!AJ47+Nov!AJ47+Dec!AJ47)</f>
        <v/>
      </c>
      <c r="G74" s="70">
        <f>IF($A74="","",Jan!AK47+Feb!AK47+Mar!AK47+Apr!AK47+May!AK47+Jun!AK47+Jul!AK47+Aug!AK47+Sep!AK47+Oct!AK47+Nov!AK47+Dec!AK47)</f>
        <v/>
      </c>
      <c r="H74" s="70">
        <f>IF($A74="","",Jan!AL47+Feb!AL47+Mar!AL47+Apr!AL47+May!AL47+Jun!AL47+Jul!AL47+Aug!AL47+Sep!AL47+Oct!AL47+Nov!AL47+Dec!AL47)</f>
        <v/>
      </c>
      <c r="I74" s="70">
        <f>IF($A74="","",Jan!AM47+Feb!AM47+Mar!AM47+Apr!AM47+May!AM47+Jun!AM47+Jul!AM47+Aug!AM47+Sep!AM47+Oct!AM47+Nov!AM47+Dec!AM47)</f>
        <v/>
      </c>
      <c r="J74" s="70">
        <f>IF($A74="","",Jan!AN47+Feb!AN47+Mar!AN47+Apr!AN47+May!AN47+Jun!AN47+Jul!AN47+Aug!AN47+Sep!AN47+Oct!AN47+Nov!AN47+Dec!AN47)</f>
        <v/>
      </c>
      <c r="K74" s="70">
        <f>IF($A74="","",Jan!AO47+Feb!AO47+Mar!AO47+Apr!AO47+May!AO47+Jun!AO47+Jul!AO47+Aug!AO47+Sep!AO47+Oct!AO47+Nov!AO47+Dec!AO47)</f>
        <v/>
      </c>
      <c r="L74" s="70">
        <f>IF($A74="","",Jan!AP47+Feb!AP47+Mar!AP47+Apr!AP47+May!AP47+Jun!AP47+Jul!AP47+Aug!AP47+Sep!AP47+Oct!AP47+Nov!AP47+Dec!AP47)</f>
        <v/>
      </c>
      <c r="M74" s="90">
        <f>IF(OR($A74="",$D74=0),"",$E74/$D74)</f>
        <v/>
      </c>
      <c r="N74" s="90">
        <f>IF(OR($A74="",$D74=0),"",($E74+$F74)/$D74)</f>
        <v/>
      </c>
      <c r="O74" s="70">
        <f>IF($A74="","",IF(Jan!AU47="",0,IF(Jan!AU47&lt;&gt;"OK",1,0))+IF(Feb!AU47="",0,IF(Feb!AU47&lt;&gt;"OK",1,0))+IF(Mar!AU47="",0,IF(Mar!AU47&lt;&gt;"OK",1,0))+IF(Apr!AU47="",0,IF(Apr!AU47&lt;&gt;"OK",1,0))+IF(May!AU47="",0,IF(May!AU47&lt;&gt;"OK",1,0))+IF(Jun!AU47="",0,IF(Jun!AU47&lt;&gt;"OK",1,0))+IF(Jul!AU47="",0,IF(Jul!AU47&lt;&gt;"OK",1,0))+IF(Aug!AU47="",0,IF(Aug!AU47&lt;&gt;"OK",1,0))+IF(Sep!AU47="",0,IF(Sep!AU47&lt;&gt;"OK",1,0))+IF(Oct!AU47="",0,IF(Oct!AU47&lt;&gt;"OK",1,0))+IF(Nov!AU47="",0,IF(Nov!AU47&lt;&gt;"OK",1,0))+IF(Dec!AU47="",0,IF(Dec!AU47&lt;&gt;"OK",1,0)))</f>
        <v/>
      </c>
      <c r="P74" s="70">
        <f>IF($A74="","",IF(OR(Jan!AU47="CRITICAL",Feb!AU47="CRITICAL",Mar!AU47="CRITICAL",Apr!AU47="CRITICAL",May!AU47="CRITICAL",Jun!AU47="CRITICAL",Jul!AU47="CRITICAL",Aug!AU47="CRITICAL",Sep!AU47="CRITICAL",Oct!AU47="CRITICAL",Nov!AU47="CRITICAL",Dec!AU47="CRITICAL",$G74&gt;=2),"CRITICAL",IF(OR($G74&gt;0,$O74&gt;0,$N74&lt;0.95),"REVIEW","OK")))</f>
        <v/>
      </c>
    </row>
    <row r="75" ht="18" customHeight="1" s="57">
      <c r="A75" s="70">
        <f>IF('Employee Master'!A48="","",'Employee Master'!A48)</f>
        <v/>
      </c>
      <c r="B75" s="63">
        <f>IF($A75="","",'Employee Master'!B48)</f>
        <v/>
      </c>
      <c r="C75" s="70">
        <f>IF($A75="","",'Employee Master'!C48)</f>
        <v/>
      </c>
      <c r="D75" s="70">
        <f>IF($A75="","",$B$5)</f>
        <v/>
      </c>
      <c r="E75" s="70">
        <f>IF($A75="","",Jan!AI48+Feb!AI48+Mar!AI48+Apr!AI48+May!AI48+Jun!AI48+Jul!AI48+Aug!AI48+Sep!AI48+Oct!AI48+Nov!AI48+Dec!AI48)</f>
        <v/>
      </c>
      <c r="F75" s="70">
        <f>IF($A75="","",Jan!AJ48+Feb!AJ48+Mar!AJ48+Apr!AJ48+May!AJ48+Jun!AJ48+Jul!AJ48+Aug!AJ48+Sep!AJ48+Oct!AJ48+Nov!AJ48+Dec!AJ48)</f>
        <v/>
      </c>
      <c r="G75" s="70">
        <f>IF($A75="","",Jan!AK48+Feb!AK48+Mar!AK48+Apr!AK48+May!AK48+Jun!AK48+Jul!AK48+Aug!AK48+Sep!AK48+Oct!AK48+Nov!AK48+Dec!AK48)</f>
        <v/>
      </c>
      <c r="H75" s="70">
        <f>IF($A75="","",Jan!AL48+Feb!AL48+Mar!AL48+Apr!AL48+May!AL48+Jun!AL48+Jul!AL48+Aug!AL48+Sep!AL48+Oct!AL48+Nov!AL48+Dec!AL48)</f>
        <v/>
      </c>
      <c r="I75" s="70">
        <f>IF($A75="","",Jan!AM48+Feb!AM48+Mar!AM48+Apr!AM48+May!AM48+Jun!AM48+Jul!AM48+Aug!AM48+Sep!AM48+Oct!AM48+Nov!AM48+Dec!AM48)</f>
        <v/>
      </c>
      <c r="J75" s="70">
        <f>IF($A75="","",Jan!AN48+Feb!AN48+Mar!AN48+Apr!AN48+May!AN48+Jun!AN48+Jul!AN48+Aug!AN48+Sep!AN48+Oct!AN48+Nov!AN48+Dec!AN48)</f>
        <v/>
      </c>
      <c r="K75" s="70">
        <f>IF($A75="","",Jan!AO48+Feb!AO48+Mar!AO48+Apr!AO48+May!AO48+Jun!AO48+Jul!AO48+Aug!AO48+Sep!AO48+Oct!AO48+Nov!AO48+Dec!AO48)</f>
        <v/>
      </c>
      <c r="L75" s="70">
        <f>IF($A75="","",Jan!AP48+Feb!AP48+Mar!AP48+Apr!AP48+May!AP48+Jun!AP48+Jul!AP48+Aug!AP48+Sep!AP48+Oct!AP48+Nov!AP48+Dec!AP48)</f>
        <v/>
      </c>
      <c r="M75" s="90">
        <f>IF(OR($A75="",$D75=0),"",$E75/$D75)</f>
        <v/>
      </c>
      <c r="N75" s="90">
        <f>IF(OR($A75="",$D75=0),"",($E75+$F75)/$D75)</f>
        <v/>
      </c>
      <c r="O75" s="70">
        <f>IF($A75="","",IF(Jan!AU48="",0,IF(Jan!AU48&lt;&gt;"OK",1,0))+IF(Feb!AU48="",0,IF(Feb!AU48&lt;&gt;"OK",1,0))+IF(Mar!AU48="",0,IF(Mar!AU48&lt;&gt;"OK",1,0))+IF(Apr!AU48="",0,IF(Apr!AU48&lt;&gt;"OK",1,0))+IF(May!AU48="",0,IF(May!AU48&lt;&gt;"OK",1,0))+IF(Jun!AU48="",0,IF(Jun!AU48&lt;&gt;"OK",1,0))+IF(Jul!AU48="",0,IF(Jul!AU48&lt;&gt;"OK",1,0))+IF(Aug!AU48="",0,IF(Aug!AU48&lt;&gt;"OK",1,0))+IF(Sep!AU48="",0,IF(Sep!AU48&lt;&gt;"OK",1,0))+IF(Oct!AU48="",0,IF(Oct!AU48&lt;&gt;"OK",1,0))+IF(Nov!AU48="",0,IF(Nov!AU48&lt;&gt;"OK",1,0))+IF(Dec!AU48="",0,IF(Dec!AU48&lt;&gt;"OK",1,0)))</f>
        <v/>
      </c>
      <c r="P75" s="70">
        <f>IF($A75="","",IF(OR(Jan!AU48="CRITICAL",Feb!AU48="CRITICAL",Mar!AU48="CRITICAL",Apr!AU48="CRITICAL",May!AU48="CRITICAL",Jun!AU48="CRITICAL",Jul!AU48="CRITICAL",Aug!AU48="CRITICAL",Sep!AU48="CRITICAL",Oct!AU48="CRITICAL",Nov!AU48="CRITICAL",Dec!AU48="CRITICAL",$G75&gt;=2),"CRITICAL",IF(OR($G75&gt;0,$O75&gt;0,$N75&lt;0.95),"REVIEW","OK")))</f>
        <v/>
      </c>
    </row>
    <row r="76" ht="18" customHeight="1" s="57">
      <c r="A76" s="70">
        <f>IF('Employee Master'!A49="","",'Employee Master'!A49)</f>
        <v/>
      </c>
      <c r="B76" s="63">
        <f>IF($A76="","",'Employee Master'!B49)</f>
        <v/>
      </c>
      <c r="C76" s="70">
        <f>IF($A76="","",'Employee Master'!C49)</f>
        <v/>
      </c>
      <c r="D76" s="70">
        <f>IF($A76="","",$B$5)</f>
        <v/>
      </c>
      <c r="E76" s="70">
        <f>IF($A76="","",Jan!AI49+Feb!AI49+Mar!AI49+Apr!AI49+May!AI49+Jun!AI49+Jul!AI49+Aug!AI49+Sep!AI49+Oct!AI49+Nov!AI49+Dec!AI49)</f>
        <v/>
      </c>
      <c r="F76" s="70">
        <f>IF($A76="","",Jan!AJ49+Feb!AJ49+Mar!AJ49+Apr!AJ49+May!AJ49+Jun!AJ49+Jul!AJ49+Aug!AJ49+Sep!AJ49+Oct!AJ49+Nov!AJ49+Dec!AJ49)</f>
        <v/>
      </c>
      <c r="G76" s="70">
        <f>IF($A76="","",Jan!AK49+Feb!AK49+Mar!AK49+Apr!AK49+May!AK49+Jun!AK49+Jul!AK49+Aug!AK49+Sep!AK49+Oct!AK49+Nov!AK49+Dec!AK49)</f>
        <v/>
      </c>
      <c r="H76" s="70">
        <f>IF($A76="","",Jan!AL49+Feb!AL49+Mar!AL49+Apr!AL49+May!AL49+Jun!AL49+Jul!AL49+Aug!AL49+Sep!AL49+Oct!AL49+Nov!AL49+Dec!AL49)</f>
        <v/>
      </c>
      <c r="I76" s="70">
        <f>IF($A76="","",Jan!AM49+Feb!AM49+Mar!AM49+Apr!AM49+May!AM49+Jun!AM49+Jul!AM49+Aug!AM49+Sep!AM49+Oct!AM49+Nov!AM49+Dec!AM49)</f>
        <v/>
      </c>
      <c r="J76" s="70">
        <f>IF($A76="","",Jan!AN49+Feb!AN49+Mar!AN49+Apr!AN49+May!AN49+Jun!AN49+Jul!AN49+Aug!AN49+Sep!AN49+Oct!AN49+Nov!AN49+Dec!AN49)</f>
        <v/>
      </c>
      <c r="K76" s="70">
        <f>IF($A76="","",Jan!AO49+Feb!AO49+Mar!AO49+Apr!AO49+May!AO49+Jun!AO49+Jul!AO49+Aug!AO49+Sep!AO49+Oct!AO49+Nov!AO49+Dec!AO49)</f>
        <v/>
      </c>
      <c r="L76" s="70">
        <f>IF($A76="","",Jan!AP49+Feb!AP49+Mar!AP49+Apr!AP49+May!AP49+Jun!AP49+Jul!AP49+Aug!AP49+Sep!AP49+Oct!AP49+Nov!AP49+Dec!AP49)</f>
        <v/>
      </c>
      <c r="M76" s="90">
        <f>IF(OR($A76="",$D76=0),"",$E76/$D76)</f>
        <v/>
      </c>
      <c r="N76" s="90">
        <f>IF(OR($A76="",$D76=0),"",($E76+$F76)/$D76)</f>
        <v/>
      </c>
      <c r="O76" s="70">
        <f>IF($A76="","",IF(Jan!AU49="",0,IF(Jan!AU49&lt;&gt;"OK",1,0))+IF(Feb!AU49="",0,IF(Feb!AU49&lt;&gt;"OK",1,0))+IF(Mar!AU49="",0,IF(Mar!AU49&lt;&gt;"OK",1,0))+IF(Apr!AU49="",0,IF(Apr!AU49&lt;&gt;"OK",1,0))+IF(May!AU49="",0,IF(May!AU49&lt;&gt;"OK",1,0))+IF(Jun!AU49="",0,IF(Jun!AU49&lt;&gt;"OK",1,0))+IF(Jul!AU49="",0,IF(Jul!AU49&lt;&gt;"OK",1,0))+IF(Aug!AU49="",0,IF(Aug!AU49&lt;&gt;"OK",1,0))+IF(Sep!AU49="",0,IF(Sep!AU49&lt;&gt;"OK",1,0))+IF(Oct!AU49="",0,IF(Oct!AU49&lt;&gt;"OK",1,0))+IF(Nov!AU49="",0,IF(Nov!AU49&lt;&gt;"OK",1,0))+IF(Dec!AU49="",0,IF(Dec!AU49&lt;&gt;"OK",1,0)))</f>
        <v/>
      </c>
      <c r="P76" s="70">
        <f>IF($A76="","",IF(OR(Jan!AU49="CRITICAL",Feb!AU49="CRITICAL",Mar!AU49="CRITICAL",Apr!AU49="CRITICAL",May!AU49="CRITICAL",Jun!AU49="CRITICAL",Jul!AU49="CRITICAL",Aug!AU49="CRITICAL",Sep!AU49="CRITICAL",Oct!AU49="CRITICAL",Nov!AU49="CRITICAL",Dec!AU49="CRITICAL",$G76&gt;=2),"CRITICAL",IF(OR($G76&gt;0,$O76&gt;0,$N76&lt;0.95),"REVIEW","OK")))</f>
        <v/>
      </c>
    </row>
    <row r="77" ht="18" customHeight="1" s="57">
      <c r="A77" s="70">
        <f>IF('Employee Master'!A50="","",'Employee Master'!A50)</f>
        <v/>
      </c>
      <c r="B77" s="63">
        <f>IF($A77="","",'Employee Master'!B50)</f>
        <v/>
      </c>
      <c r="C77" s="70">
        <f>IF($A77="","",'Employee Master'!C50)</f>
        <v/>
      </c>
      <c r="D77" s="70">
        <f>IF($A77="","",$B$5)</f>
        <v/>
      </c>
      <c r="E77" s="70">
        <f>IF($A77="","",Jan!AI50+Feb!AI50+Mar!AI50+Apr!AI50+May!AI50+Jun!AI50+Jul!AI50+Aug!AI50+Sep!AI50+Oct!AI50+Nov!AI50+Dec!AI50)</f>
        <v/>
      </c>
      <c r="F77" s="70">
        <f>IF($A77="","",Jan!AJ50+Feb!AJ50+Mar!AJ50+Apr!AJ50+May!AJ50+Jun!AJ50+Jul!AJ50+Aug!AJ50+Sep!AJ50+Oct!AJ50+Nov!AJ50+Dec!AJ50)</f>
        <v/>
      </c>
      <c r="G77" s="70">
        <f>IF($A77="","",Jan!AK50+Feb!AK50+Mar!AK50+Apr!AK50+May!AK50+Jun!AK50+Jul!AK50+Aug!AK50+Sep!AK50+Oct!AK50+Nov!AK50+Dec!AK50)</f>
        <v/>
      </c>
      <c r="H77" s="70">
        <f>IF($A77="","",Jan!AL50+Feb!AL50+Mar!AL50+Apr!AL50+May!AL50+Jun!AL50+Jul!AL50+Aug!AL50+Sep!AL50+Oct!AL50+Nov!AL50+Dec!AL50)</f>
        <v/>
      </c>
      <c r="I77" s="70">
        <f>IF($A77="","",Jan!AM50+Feb!AM50+Mar!AM50+Apr!AM50+May!AM50+Jun!AM50+Jul!AM50+Aug!AM50+Sep!AM50+Oct!AM50+Nov!AM50+Dec!AM50)</f>
        <v/>
      </c>
      <c r="J77" s="70">
        <f>IF($A77="","",Jan!AN50+Feb!AN50+Mar!AN50+Apr!AN50+May!AN50+Jun!AN50+Jul!AN50+Aug!AN50+Sep!AN50+Oct!AN50+Nov!AN50+Dec!AN50)</f>
        <v/>
      </c>
      <c r="K77" s="70">
        <f>IF($A77="","",Jan!AO50+Feb!AO50+Mar!AO50+Apr!AO50+May!AO50+Jun!AO50+Jul!AO50+Aug!AO50+Sep!AO50+Oct!AO50+Nov!AO50+Dec!AO50)</f>
        <v/>
      </c>
      <c r="L77" s="70">
        <f>IF($A77="","",Jan!AP50+Feb!AP50+Mar!AP50+Apr!AP50+May!AP50+Jun!AP50+Jul!AP50+Aug!AP50+Sep!AP50+Oct!AP50+Nov!AP50+Dec!AP50)</f>
        <v/>
      </c>
      <c r="M77" s="90">
        <f>IF(OR($A77="",$D77=0),"",$E77/$D77)</f>
        <v/>
      </c>
      <c r="N77" s="90">
        <f>IF(OR($A77="",$D77=0),"",($E77+$F77)/$D77)</f>
        <v/>
      </c>
      <c r="O77" s="70">
        <f>IF($A77="","",IF(Jan!AU50="",0,IF(Jan!AU50&lt;&gt;"OK",1,0))+IF(Feb!AU50="",0,IF(Feb!AU50&lt;&gt;"OK",1,0))+IF(Mar!AU50="",0,IF(Mar!AU50&lt;&gt;"OK",1,0))+IF(Apr!AU50="",0,IF(Apr!AU50&lt;&gt;"OK",1,0))+IF(May!AU50="",0,IF(May!AU50&lt;&gt;"OK",1,0))+IF(Jun!AU50="",0,IF(Jun!AU50&lt;&gt;"OK",1,0))+IF(Jul!AU50="",0,IF(Jul!AU50&lt;&gt;"OK",1,0))+IF(Aug!AU50="",0,IF(Aug!AU50&lt;&gt;"OK",1,0))+IF(Sep!AU50="",0,IF(Sep!AU50&lt;&gt;"OK",1,0))+IF(Oct!AU50="",0,IF(Oct!AU50&lt;&gt;"OK",1,0))+IF(Nov!AU50="",0,IF(Nov!AU50&lt;&gt;"OK",1,0))+IF(Dec!AU50="",0,IF(Dec!AU50&lt;&gt;"OK",1,0)))</f>
        <v/>
      </c>
      <c r="P77" s="70">
        <f>IF($A77="","",IF(OR(Jan!AU50="CRITICAL",Feb!AU50="CRITICAL",Mar!AU50="CRITICAL",Apr!AU50="CRITICAL",May!AU50="CRITICAL",Jun!AU50="CRITICAL",Jul!AU50="CRITICAL",Aug!AU50="CRITICAL",Sep!AU50="CRITICAL",Oct!AU50="CRITICAL",Nov!AU50="CRITICAL",Dec!AU50="CRITICAL",$G77&gt;=2),"CRITICAL",IF(OR($G77&gt;0,$O77&gt;0,$N77&lt;0.95),"REVIEW","OK")))</f>
        <v/>
      </c>
    </row>
    <row r="78" ht="18" customHeight="1" s="57">
      <c r="A78" s="70">
        <f>IF('Employee Master'!A51="","",'Employee Master'!A51)</f>
        <v/>
      </c>
      <c r="B78" s="63">
        <f>IF($A78="","",'Employee Master'!B51)</f>
        <v/>
      </c>
      <c r="C78" s="70">
        <f>IF($A78="","",'Employee Master'!C51)</f>
        <v/>
      </c>
      <c r="D78" s="70">
        <f>IF($A78="","",$B$5)</f>
        <v/>
      </c>
      <c r="E78" s="70">
        <f>IF($A78="","",Jan!AI51+Feb!AI51+Mar!AI51+Apr!AI51+May!AI51+Jun!AI51+Jul!AI51+Aug!AI51+Sep!AI51+Oct!AI51+Nov!AI51+Dec!AI51)</f>
        <v/>
      </c>
      <c r="F78" s="70">
        <f>IF($A78="","",Jan!AJ51+Feb!AJ51+Mar!AJ51+Apr!AJ51+May!AJ51+Jun!AJ51+Jul!AJ51+Aug!AJ51+Sep!AJ51+Oct!AJ51+Nov!AJ51+Dec!AJ51)</f>
        <v/>
      </c>
      <c r="G78" s="70">
        <f>IF($A78="","",Jan!AK51+Feb!AK51+Mar!AK51+Apr!AK51+May!AK51+Jun!AK51+Jul!AK51+Aug!AK51+Sep!AK51+Oct!AK51+Nov!AK51+Dec!AK51)</f>
        <v/>
      </c>
      <c r="H78" s="70">
        <f>IF($A78="","",Jan!AL51+Feb!AL51+Mar!AL51+Apr!AL51+May!AL51+Jun!AL51+Jul!AL51+Aug!AL51+Sep!AL51+Oct!AL51+Nov!AL51+Dec!AL51)</f>
        <v/>
      </c>
      <c r="I78" s="70">
        <f>IF($A78="","",Jan!AM51+Feb!AM51+Mar!AM51+Apr!AM51+May!AM51+Jun!AM51+Jul!AM51+Aug!AM51+Sep!AM51+Oct!AM51+Nov!AM51+Dec!AM51)</f>
        <v/>
      </c>
      <c r="J78" s="70">
        <f>IF($A78="","",Jan!AN51+Feb!AN51+Mar!AN51+Apr!AN51+May!AN51+Jun!AN51+Jul!AN51+Aug!AN51+Sep!AN51+Oct!AN51+Nov!AN51+Dec!AN51)</f>
        <v/>
      </c>
      <c r="K78" s="70">
        <f>IF($A78="","",Jan!AO51+Feb!AO51+Mar!AO51+Apr!AO51+May!AO51+Jun!AO51+Jul!AO51+Aug!AO51+Sep!AO51+Oct!AO51+Nov!AO51+Dec!AO51)</f>
        <v/>
      </c>
      <c r="L78" s="70">
        <f>IF($A78="","",Jan!AP51+Feb!AP51+Mar!AP51+Apr!AP51+May!AP51+Jun!AP51+Jul!AP51+Aug!AP51+Sep!AP51+Oct!AP51+Nov!AP51+Dec!AP51)</f>
        <v/>
      </c>
      <c r="M78" s="90">
        <f>IF(OR($A78="",$D78=0),"",$E78/$D78)</f>
        <v/>
      </c>
      <c r="N78" s="90">
        <f>IF(OR($A78="",$D78=0),"",($E78+$F78)/$D78)</f>
        <v/>
      </c>
      <c r="O78" s="70">
        <f>IF($A78="","",IF(Jan!AU51="",0,IF(Jan!AU51&lt;&gt;"OK",1,0))+IF(Feb!AU51="",0,IF(Feb!AU51&lt;&gt;"OK",1,0))+IF(Mar!AU51="",0,IF(Mar!AU51&lt;&gt;"OK",1,0))+IF(Apr!AU51="",0,IF(Apr!AU51&lt;&gt;"OK",1,0))+IF(May!AU51="",0,IF(May!AU51&lt;&gt;"OK",1,0))+IF(Jun!AU51="",0,IF(Jun!AU51&lt;&gt;"OK",1,0))+IF(Jul!AU51="",0,IF(Jul!AU51&lt;&gt;"OK",1,0))+IF(Aug!AU51="",0,IF(Aug!AU51&lt;&gt;"OK",1,0))+IF(Sep!AU51="",0,IF(Sep!AU51&lt;&gt;"OK",1,0))+IF(Oct!AU51="",0,IF(Oct!AU51&lt;&gt;"OK",1,0))+IF(Nov!AU51="",0,IF(Nov!AU51&lt;&gt;"OK",1,0))+IF(Dec!AU51="",0,IF(Dec!AU51&lt;&gt;"OK",1,0)))</f>
        <v/>
      </c>
      <c r="P78" s="70">
        <f>IF($A78="","",IF(OR(Jan!AU51="CRITICAL",Feb!AU51="CRITICAL",Mar!AU51="CRITICAL",Apr!AU51="CRITICAL",May!AU51="CRITICAL",Jun!AU51="CRITICAL",Jul!AU51="CRITICAL",Aug!AU51="CRITICAL",Sep!AU51="CRITICAL",Oct!AU51="CRITICAL",Nov!AU51="CRITICAL",Dec!AU51="CRITICAL",$G78&gt;=2),"CRITICAL",IF(OR($G78&gt;0,$O78&gt;0,$N78&lt;0.95),"REVIEW","OK")))</f>
        <v/>
      </c>
    </row>
    <row r="79" ht="18" customHeight="1" s="57">
      <c r="A79" s="70">
        <f>IF('Employee Master'!A52="","",'Employee Master'!A52)</f>
        <v/>
      </c>
      <c r="B79" s="63">
        <f>IF($A79="","",'Employee Master'!B52)</f>
        <v/>
      </c>
      <c r="C79" s="70">
        <f>IF($A79="","",'Employee Master'!C52)</f>
        <v/>
      </c>
      <c r="D79" s="70">
        <f>IF($A79="","",$B$5)</f>
        <v/>
      </c>
      <c r="E79" s="70">
        <f>IF($A79="","",Jan!AI52+Feb!AI52+Mar!AI52+Apr!AI52+May!AI52+Jun!AI52+Jul!AI52+Aug!AI52+Sep!AI52+Oct!AI52+Nov!AI52+Dec!AI52)</f>
        <v/>
      </c>
      <c r="F79" s="70">
        <f>IF($A79="","",Jan!AJ52+Feb!AJ52+Mar!AJ52+Apr!AJ52+May!AJ52+Jun!AJ52+Jul!AJ52+Aug!AJ52+Sep!AJ52+Oct!AJ52+Nov!AJ52+Dec!AJ52)</f>
        <v/>
      </c>
      <c r="G79" s="70">
        <f>IF($A79="","",Jan!AK52+Feb!AK52+Mar!AK52+Apr!AK52+May!AK52+Jun!AK52+Jul!AK52+Aug!AK52+Sep!AK52+Oct!AK52+Nov!AK52+Dec!AK52)</f>
        <v/>
      </c>
      <c r="H79" s="70">
        <f>IF($A79="","",Jan!AL52+Feb!AL52+Mar!AL52+Apr!AL52+May!AL52+Jun!AL52+Jul!AL52+Aug!AL52+Sep!AL52+Oct!AL52+Nov!AL52+Dec!AL52)</f>
        <v/>
      </c>
      <c r="I79" s="70">
        <f>IF($A79="","",Jan!AM52+Feb!AM52+Mar!AM52+Apr!AM52+May!AM52+Jun!AM52+Jul!AM52+Aug!AM52+Sep!AM52+Oct!AM52+Nov!AM52+Dec!AM52)</f>
        <v/>
      </c>
      <c r="J79" s="70">
        <f>IF($A79="","",Jan!AN52+Feb!AN52+Mar!AN52+Apr!AN52+May!AN52+Jun!AN52+Jul!AN52+Aug!AN52+Sep!AN52+Oct!AN52+Nov!AN52+Dec!AN52)</f>
        <v/>
      </c>
      <c r="K79" s="70">
        <f>IF($A79="","",Jan!AO52+Feb!AO52+Mar!AO52+Apr!AO52+May!AO52+Jun!AO52+Jul!AO52+Aug!AO52+Sep!AO52+Oct!AO52+Nov!AO52+Dec!AO52)</f>
        <v/>
      </c>
      <c r="L79" s="70">
        <f>IF($A79="","",Jan!AP52+Feb!AP52+Mar!AP52+Apr!AP52+May!AP52+Jun!AP52+Jul!AP52+Aug!AP52+Sep!AP52+Oct!AP52+Nov!AP52+Dec!AP52)</f>
        <v/>
      </c>
      <c r="M79" s="90">
        <f>IF(OR($A79="",$D79=0),"",$E79/$D79)</f>
        <v/>
      </c>
      <c r="N79" s="90">
        <f>IF(OR($A79="",$D79=0),"",($E79+$F79)/$D79)</f>
        <v/>
      </c>
      <c r="O79" s="70">
        <f>IF($A79="","",IF(Jan!AU52="",0,IF(Jan!AU52&lt;&gt;"OK",1,0))+IF(Feb!AU52="",0,IF(Feb!AU52&lt;&gt;"OK",1,0))+IF(Mar!AU52="",0,IF(Mar!AU52&lt;&gt;"OK",1,0))+IF(Apr!AU52="",0,IF(Apr!AU52&lt;&gt;"OK",1,0))+IF(May!AU52="",0,IF(May!AU52&lt;&gt;"OK",1,0))+IF(Jun!AU52="",0,IF(Jun!AU52&lt;&gt;"OK",1,0))+IF(Jul!AU52="",0,IF(Jul!AU52&lt;&gt;"OK",1,0))+IF(Aug!AU52="",0,IF(Aug!AU52&lt;&gt;"OK",1,0))+IF(Sep!AU52="",0,IF(Sep!AU52&lt;&gt;"OK",1,0))+IF(Oct!AU52="",0,IF(Oct!AU52&lt;&gt;"OK",1,0))+IF(Nov!AU52="",0,IF(Nov!AU52&lt;&gt;"OK",1,0))+IF(Dec!AU52="",0,IF(Dec!AU52&lt;&gt;"OK",1,0)))</f>
        <v/>
      </c>
      <c r="P79" s="70">
        <f>IF($A79="","",IF(OR(Jan!AU52="CRITICAL",Feb!AU52="CRITICAL",Mar!AU52="CRITICAL",Apr!AU52="CRITICAL",May!AU52="CRITICAL",Jun!AU52="CRITICAL",Jul!AU52="CRITICAL",Aug!AU52="CRITICAL",Sep!AU52="CRITICAL",Oct!AU52="CRITICAL",Nov!AU52="CRITICAL",Dec!AU52="CRITICAL",$G79&gt;=2),"CRITICAL",IF(OR($G79&gt;0,$O79&gt;0,$N79&lt;0.95),"REVIEW","OK")))</f>
        <v/>
      </c>
    </row>
    <row r="80" ht="18" customHeight="1" s="57">
      <c r="A80" s="70">
        <f>IF('Employee Master'!A53="","",'Employee Master'!A53)</f>
        <v/>
      </c>
      <c r="B80" s="63">
        <f>IF($A80="","",'Employee Master'!B53)</f>
        <v/>
      </c>
      <c r="C80" s="70">
        <f>IF($A80="","",'Employee Master'!C53)</f>
        <v/>
      </c>
      <c r="D80" s="70">
        <f>IF($A80="","",$B$5)</f>
        <v/>
      </c>
      <c r="E80" s="70">
        <f>IF($A80="","",Jan!AI53+Feb!AI53+Mar!AI53+Apr!AI53+May!AI53+Jun!AI53+Jul!AI53+Aug!AI53+Sep!AI53+Oct!AI53+Nov!AI53+Dec!AI53)</f>
        <v/>
      </c>
      <c r="F80" s="70">
        <f>IF($A80="","",Jan!AJ53+Feb!AJ53+Mar!AJ53+Apr!AJ53+May!AJ53+Jun!AJ53+Jul!AJ53+Aug!AJ53+Sep!AJ53+Oct!AJ53+Nov!AJ53+Dec!AJ53)</f>
        <v/>
      </c>
      <c r="G80" s="70">
        <f>IF($A80="","",Jan!AK53+Feb!AK53+Mar!AK53+Apr!AK53+May!AK53+Jun!AK53+Jul!AK53+Aug!AK53+Sep!AK53+Oct!AK53+Nov!AK53+Dec!AK53)</f>
        <v/>
      </c>
      <c r="H80" s="70">
        <f>IF($A80="","",Jan!AL53+Feb!AL53+Mar!AL53+Apr!AL53+May!AL53+Jun!AL53+Jul!AL53+Aug!AL53+Sep!AL53+Oct!AL53+Nov!AL53+Dec!AL53)</f>
        <v/>
      </c>
      <c r="I80" s="70">
        <f>IF($A80="","",Jan!AM53+Feb!AM53+Mar!AM53+Apr!AM53+May!AM53+Jun!AM53+Jul!AM53+Aug!AM53+Sep!AM53+Oct!AM53+Nov!AM53+Dec!AM53)</f>
        <v/>
      </c>
      <c r="J80" s="70">
        <f>IF($A80="","",Jan!AN53+Feb!AN53+Mar!AN53+Apr!AN53+May!AN53+Jun!AN53+Jul!AN53+Aug!AN53+Sep!AN53+Oct!AN53+Nov!AN53+Dec!AN53)</f>
        <v/>
      </c>
      <c r="K80" s="70">
        <f>IF($A80="","",Jan!AO53+Feb!AO53+Mar!AO53+Apr!AO53+May!AO53+Jun!AO53+Jul!AO53+Aug!AO53+Sep!AO53+Oct!AO53+Nov!AO53+Dec!AO53)</f>
        <v/>
      </c>
      <c r="L80" s="70">
        <f>IF($A80="","",Jan!AP53+Feb!AP53+Mar!AP53+Apr!AP53+May!AP53+Jun!AP53+Jul!AP53+Aug!AP53+Sep!AP53+Oct!AP53+Nov!AP53+Dec!AP53)</f>
        <v/>
      </c>
      <c r="M80" s="90">
        <f>IF(OR($A80="",$D80=0),"",$E80/$D80)</f>
        <v/>
      </c>
      <c r="N80" s="90">
        <f>IF(OR($A80="",$D80=0),"",($E80+$F80)/$D80)</f>
        <v/>
      </c>
      <c r="O80" s="70">
        <f>IF($A80="","",IF(Jan!AU53="",0,IF(Jan!AU53&lt;&gt;"OK",1,0))+IF(Feb!AU53="",0,IF(Feb!AU53&lt;&gt;"OK",1,0))+IF(Mar!AU53="",0,IF(Mar!AU53&lt;&gt;"OK",1,0))+IF(Apr!AU53="",0,IF(Apr!AU53&lt;&gt;"OK",1,0))+IF(May!AU53="",0,IF(May!AU53&lt;&gt;"OK",1,0))+IF(Jun!AU53="",0,IF(Jun!AU53&lt;&gt;"OK",1,0))+IF(Jul!AU53="",0,IF(Jul!AU53&lt;&gt;"OK",1,0))+IF(Aug!AU53="",0,IF(Aug!AU53&lt;&gt;"OK",1,0))+IF(Sep!AU53="",0,IF(Sep!AU53&lt;&gt;"OK",1,0))+IF(Oct!AU53="",0,IF(Oct!AU53&lt;&gt;"OK",1,0))+IF(Nov!AU53="",0,IF(Nov!AU53&lt;&gt;"OK",1,0))+IF(Dec!AU53="",0,IF(Dec!AU53&lt;&gt;"OK",1,0)))</f>
        <v/>
      </c>
      <c r="P80" s="70">
        <f>IF($A80="","",IF(OR(Jan!AU53="CRITICAL",Feb!AU53="CRITICAL",Mar!AU53="CRITICAL",Apr!AU53="CRITICAL",May!AU53="CRITICAL",Jun!AU53="CRITICAL",Jul!AU53="CRITICAL",Aug!AU53="CRITICAL",Sep!AU53="CRITICAL",Oct!AU53="CRITICAL",Nov!AU53="CRITICAL",Dec!AU53="CRITICAL",$G80&gt;=2),"CRITICAL",IF(OR($G80&gt;0,$O80&gt;0,$N80&lt;0.95),"REVIEW","OK")))</f>
        <v/>
      </c>
    </row>
    <row r="81" ht="18" customHeight="1" s="57">
      <c r="A81" s="70">
        <f>IF('Employee Master'!A54="","",'Employee Master'!A54)</f>
        <v/>
      </c>
      <c r="B81" s="63">
        <f>IF($A81="","",'Employee Master'!B54)</f>
        <v/>
      </c>
      <c r="C81" s="70">
        <f>IF($A81="","",'Employee Master'!C54)</f>
        <v/>
      </c>
      <c r="D81" s="70">
        <f>IF($A81="","",$B$5)</f>
        <v/>
      </c>
      <c r="E81" s="70">
        <f>IF($A81="","",Jan!AI54+Feb!AI54+Mar!AI54+Apr!AI54+May!AI54+Jun!AI54+Jul!AI54+Aug!AI54+Sep!AI54+Oct!AI54+Nov!AI54+Dec!AI54)</f>
        <v/>
      </c>
      <c r="F81" s="70">
        <f>IF($A81="","",Jan!AJ54+Feb!AJ54+Mar!AJ54+Apr!AJ54+May!AJ54+Jun!AJ54+Jul!AJ54+Aug!AJ54+Sep!AJ54+Oct!AJ54+Nov!AJ54+Dec!AJ54)</f>
        <v/>
      </c>
      <c r="G81" s="70">
        <f>IF($A81="","",Jan!AK54+Feb!AK54+Mar!AK54+Apr!AK54+May!AK54+Jun!AK54+Jul!AK54+Aug!AK54+Sep!AK54+Oct!AK54+Nov!AK54+Dec!AK54)</f>
        <v/>
      </c>
      <c r="H81" s="70">
        <f>IF($A81="","",Jan!AL54+Feb!AL54+Mar!AL54+Apr!AL54+May!AL54+Jun!AL54+Jul!AL54+Aug!AL54+Sep!AL54+Oct!AL54+Nov!AL54+Dec!AL54)</f>
        <v/>
      </c>
      <c r="I81" s="70">
        <f>IF($A81="","",Jan!AM54+Feb!AM54+Mar!AM54+Apr!AM54+May!AM54+Jun!AM54+Jul!AM54+Aug!AM54+Sep!AM54+Oct!AM54+Nov!AM54+Dec!AM54)</f>
        <v/>
      </c>
      <c r="J81" s="70">
        <f>IF($A81="","",Jan!AN54+Feb!AN54+Mar!AN54+Apr!AN54+May!AN54+Jun!AN54+Jul!AN54+Aug!AN54+Sep!AN54+Oct!AN54+Nov!AN54+Dec!AN54)</f>
        <v/>
      </c>
      <c r="K81" s="70">
        <f>IF($A81="","",Jan!AO54+Feb!AO54+Mar!AO54+Apr!AO54+May!AO54+Jun!AO54+Jul!AO54+Aug!AO54+Sep!AO54+Oct!AO54+Nov!AO54+Dec!AO54)</f>
        <v/>
      </c>
      <c r="L81" s="70">
        <f>IF($A81="","",Jan!AP54+Feb!AP54+Mar!AP54+Apr!AP54+May!AP54+Jun!AP54+Jul!AP54+Aug!AP54+Sep!AP54+Oct!AP54+Nov!AP54+Dec!AP54)</f>
        <v/>
      </c>
      <c r="M81" s="90">
        <f>IF(OR($A81="",$D81=0),"",$E81/$D81)</f>
        <v/>
      </c>
      <c r="N81" s="90">
        <f>IF(OR($A81="",$D81=0),"",($E81+$F81)/$D81)</f>
        <v/>
      </c>
      <c r="O81" s="70">
        <f>IF($A81="","",IF(Jan!AU54="",0,IF(Jan!AU54&lt;&gt;"OK",1,0))+IF(Feb!AU54="",0,IF(Feb!AU54&lt;&gt;"OK",1,0))+IF(Mar!AU54="",0,IF(Mar!AU54&lt;&gt;"OK",1,0))+IF(Apr!AU54="",0,IF(Apr!AU54&lt;&gt;"OK",1,0))+IF(May!AU54="",0,IF(May!AU54&lt;&gt;"OK",1,0))+IF(Jun!AU54="",0,IF(Jun!AU54&lt;&gt;"OK",1,0))+IF(Jul!AU54="",0,IF(Jul!AU54&lt;&gt;"OK",1,0))+IF(Aug!AU54="",0,IF(Aug!AU54&lt;&gt;"OK",1,0))+IF(Sep!AU54="",0,IF(Sep!AU54&lt;&gt;"OK",1,0))+IF(Oct!AU54="",0,IF(Oct!AU54&lt;&gt;"OK",1,0))+IF(Nov!AU54="",0,IF(Nov!AU54&lt;&gt;"OK",1,0))+IF(Dec!AU54="",0,IF(Dec!AU54&lt;&gt;"OK",1,0)))</f>
        <v/>
      </c>
      <c r="P81" s="70">
        <f>IF($A81="","",IF(OR(Jan!AU54="CRITICAL",Feb!AU54="CRITICAL",Mar!AU54="CRITICAL",Apr!AU54="CRITICAL",May!AU54="CRITICAL",Jun!AU54="CRITICAL",Jul!AU54="CRITICAL",Aug!AU54="CRITICAL",Sep!AU54="CRITICAL",Oct!AU54="CRITICAL",Nov!AU54="CRITICAL",Dec!AU54="CRITICAL",$G81&gt;=2),"CRITICAL",IF(OR($G81&gt;0,$O81&gt;0,$N81&lt;0.95),"REVIEW","OK")))</f>
        <v/>
      </c>
    </row>
    <row r="82" ht="18" customHeight="1" s="57">
      <c r="A82" s="70">
        <f>IF('Employee Master'!A55="","",'Employee Master'!A55)</f>
        <v/>
      </c>
      <c r="B82" s="63">
        <f>IF($A82="","",'Employee Master'!B55)</f>
        <v/>
      </c>
      <c r="C82" s="70">
        <f>IF($A82="","",'Employee Master'!C55)</f>
        <v/>
      </c>
      <c r="D82" s="70">
        <f>IF($A82="","",$B$5)</f>
        <v/>
      </c>
      <c r="E82" s="70">
        <f>IF($A82="","",Jan!AI55+Feb!AI55+Mar!AI55+Apr!AI55+May!AI55+Jun!AI55+Jul!AI55+Aug!AI55+Sep!AI55+Oct!AI55+Nov!AI55+Dec!AI55)</f>
        <v/>
      </c>
      <c r="F82" s="70">
        <f>IF($A82="","",Jan!AJ55+Feb!AJ55+Mar!AJ55+Apr!AJ55+May!AJ55+Jun!AJ55+Jul!AJ55+Aug!AJ55+Sep!AJ55+Oct!AJ55+Nov!AJ55+Dec!AJ55)</f>
        <v/>
      </c>
      <c r="G82" s="70">
        <f>IF($A82="","",Jan!AK55+Feb!AK55+Mar!AK55+Apr!AK55+May!AK55+Jun!AK55+Jul!AK55+Aug!AK55+Sep!AK55+Oct!AK55+Nov!AK55+Dec!AK55)</f>
        <v/>
      </c>
      <c r="H82" s="70">
        <f>IF($A82="","",Jan!AL55+Feb!AL55+Mar!AL55+Apr!AL55+May!AL55+Jun!AL55+Jul!AL55+Aug!AL55+Sep!AL55+Oct!AL55+Nov!AL55+Dec!AL55)</f>
        <v/>
      </c>
      <c r="I82" s="70">
        <f>IF($A82="","",Jan!AM55+Feb!AM55+Mar!AM55+Apr!AM55+May!AM55+Jun!AM55+Jul!AM55+Aug!AM55+Sep!AM55+Oct!AM55+Nov!AM55+Dec!AM55)</f>
        <v/>
      </c>
      <c r="J82" s="70">
        <f>IF($A82="","",Jan!AN55+Feb!AN55+Mar!AN55+Apr!AN55+May!AN55+Jun!AN55+Jul!AN55+Aug!AN55+Sep!AN55+Oct!AN55+Nov!AN55+Dec!AN55)</f>
        <v/>
      </c>
      <c r="K82" s="70">
        <f>IF($A82="","",Jan!AO55+Feb!AO55+Mar!AO55+Apr!AO55+May!AO55+Jun!AO55+Jul!AO55+Aug!AO55+Sep!AO55+Oct!AO55+Nov!AO55+Dec!AO55)</f>
        <v/>
      </c>
      <c r="L82" s="70">
        <f>IF($A82="","",Jan!AP55+Feb!AP55+Mar!AP55+Apr!AP55+May!AP55+Jun!AP55+Jul!AP55+Aug!AP55+Sep!AP55+Oct!AP55+Nov!AP55+Dec!AP55)</f>
        <v/>
      </c>
      <c r="M82" s="90">
        <f>IF(OR($A82="",$D82=0),"",$E82/$D82)</f>
        <v/>
      </c>
      <c r="N82" s="90">
        <f>IF(OR($A82="",$D82=0),"",($E82+$F82)/$D82)</f>
        <v/>
      </c>
      <c r="O82" s="70">
        <f>IF($A82="","",IF(Jan!AU55="",0,IF(Jan!AU55&lt;&gt;"OK",1,0))+IF(Feb!AU55="",0,IF(Feb!AU55&lt;&gt;"OK",1,0))+IF(Mar!AU55="",0,IF(Mar!AU55&lt;&gt;"OK",1,0))+IF(Apr!AU55="",0,IF(Apr!AU55&lt;&gt;"OK",1,0))+IF(May!AU55="",0,IF(May!AU55&lt;&gt;"OK",1,0))+IF(Jun!AU55="",0,IF(Jun!AU55&lt;&gt;"OK",1,0))+IF(Jul!AU55="",0,IF(Jul!AU55&lt;&gt;"OK",1,0))+IF(Aug!AU55="",0,IF(Aug!AU55&lt;&gt;"OK",1,0))+IF(Sep!AU55="",0,IF(Sep!AU55&lt;&gt;"OK",1,0))+IF(Oct!AU55="",0,IF(Oct!AU55&lt;&gt;"OK",1,0))+IF(Nov!AU55="",0,IF(Nov!AU55&lt;&gt;"OK",1,0))+IF(Dec!AU55="",0,IF(Dec!AU55&lt;&gt;"OK",1,0)))</f>
        <v/>
      </c>
      <c r="P82" s="70">
        <f>IF($A82="","",IF(OR(Jan!AU55="CRITICAL",Feb!AU55="CRITICAL",Mar!AU55="CRITICAL",Apr!AU55="CRITICAL",May!AU55="CRITICAL",Jun!AU55="CRITICAL",Jul!AU55="CRITICAL",Aug!AU55="CRITICAL",Sep!AU55="CRITICAL",Oct!AU55="CRITICAL",Nov!AU55="CRITICAL",Dec!AU55="CRITICAL",$G82&gt;=2),"CRITICAL",IF(OR($G82&gt;0,$O82&gt;0,$N82&lt;0.95),"REVIEW","OK")))</f>
        <v/>
      </c>
    </row>
    <row r="83" ht="18" customHeight="1" s="57">
      <c r="A83" s="70">
        <f>IF('Employee Master'!A56="","",'Employee Master'!A56)</f>
        <v/>
      </c>
      <c r="B83" s="63">
        <f>IF($A83="","",'Employee Master'!B56)</f>
        <v/>
      </c>
      <c r="C83" s="70">
        <f>IF($A83="","",'Employee Master'!C56)</f>
        <v/>
      </c>
      <c r="D83" s="70">
        <f>IF($A83="","",$B$5)</f>
        <v/>
      </c>
      <c r="E83" s="70">
        <f>IF($A83="","",Jan!AI56+Feb!AI56+Mar!AI56+Apr!AI56+May!AI56+Jun!AI56+Jul!AI56+Aug!AI56+Sep!AI56+Oct!AI56+Nov!AI56+Dec!AI56)</f>
        <v/>
      </c>
      <c r="F83" s="70">
        <f>IF($A83="","",Jan!AJ56+Feb!AJ56+Mar!AJ56+Apr!AJ56+May!AJ56+Jun!AJ56+Jul!AJ56+Aug!AJ56+Sep!AJ56+Oct!AJ56+Nov!AJ56+Dec!AJ56)</f>
        <v/>
      </c>
      <c r="G83" s="70">
        <f>IF($A83="","",Jan!AK56+Feb!AK56+Mar!AK56+Apr!AK56+May!AK56+Jun!AK56+Jul!AK56+Aug!AK56+Sep!AK56+Oct!AK56+Nov!AK56+Dec!AK56)</f>
        <v/>
      </c>
      <c r="H83" s="70">
        <f>IF($A83="","",Jan!AL56+Feb!AL56+Mar!AL56+Apr!AL56+May!AL56+Jun!AL56+Jul!AL56+Aug!AL56+Sep!AL56+Oct!AL56+Nov!AL56+Dec!AL56)</f>
        <v/>
      </c>
      <c r="I83" s="70">
        <f>IF($A83="","",Jan!AM56+Feb!AM56+Mar!AM56+Apr!AM56+May!AM56+Jun!AM56+Jul!AM56+Aug!AM56+Sep!AM56+Oct!AM56+Nov!AM56+Dec!AM56)</f>
        <v/>
      </c>
      <c r="J83" s="70">
        <f>IF($A83="","",Jan!AN56+Feb!AN56+Mar!AN56+Apr!AN56+May!AN56+Jun!AN56+Jul!AN56+Aug!AN56+Sep!AN56+Oct!AN56+Nov!AN56+Dec!AN56)</f>
        <v/>
      </c>
      <c r="K83" s="70">
        <f>IF($A83="","",Jan!AO56+Feb!AO56+Mar!AO56+Apr!AO56+May!AO56+Jun!AO56+Jul!AO56+Aug!AO56+Sep!AO56+Oct!AO56+Nov!AO56+Dec!AO56)</f>
        <v/>
      </c>
      <c r="L83" s="70">
        <f>IF($A83="","",Jan!AP56+Feb!AP56+Mar!AP56+Apr!AP56+May!AP56+Jun!AP56+Jul!AP56+Aug!AP56+Sep!AP56+Oct!AP56+Nov!AP56+Dec!AP56)</f>
        <v/>
      </c>
      <c r="M83" s="90">
        <f>IF(OR($A83="",$D83=0),"",$E83/$D83)</f>
        <v/>
      </c>
      <c r="N83" s="90">
        <f>IF(OR($A83="",$D83=0),"",($E83+$F83)/$D83)</f>
        <v/>
      </c>
      <c r="O83" s="70">
        <f>IF($A83="","",IF(Jan!AU56="",0,IF(Jan!AU56&lt;&gt;"OK",1,0))+IF(Feb!AU56="",0,IF(Feb!AU56&lt;&gt;"OK",1,0))+IF(Mar!AU56="",0,IF(Mar!AU56&lt;&gt;"OK",1,0))+IF(Apr!AU56="",0,IF(Apr!AU56&lt;&gt;"OK",1,0))+IF(May!AU56="",0,IF(May!AU56&lt;&gt;"OK",1,0))+IF(Jun!AU56="",0,IF(Jun!AU56&lt;&gt;"OK",1,0))+IF(Jul!AU56="",0,IF(Jul!AU56&lt;&gt;"OK",1,0))+IF(Aug!AU56="",0,IF(Aug!AU56&lt;&gt;"OK",1,0))+IF(Sep!AU56="",0,IF(Sep!AU56&lt;&gt;"OK",1,0))+IF(Oct!AU56="",0,IF(Oct!AU56&lt;&gt;"OK",1,0))+IF(Nov!AU56="",0,IF(Nov!AU56&lt;&gt;"OK",1,0))+IF(Dec!AU56="",0,IF(Dec!AU56&lt;&gt;"OK",1,0)))</f>
        <v/>
      </c>
      <c r="P83" s="70">
        <f>IF($A83="","",IF(OR(Jan!AU56="CRITICAL",Feb!AU56="CRITICAL",Mar!AU56="CRITICAL",Apr!AU56="CRITICAL",May!AU56="CRITICAL",Jun!AU56="CRITICAL",Jul!AU56="CRITICAL",Aug!AU56="CRITICAL",Sep!AU56="CRITICAL",Oct!AU56="CRITICAL",Nov!AU56="CRITICAL",Dec!AU56="CRITICAL",$G83&gt;=2),"CRITICAL",IF(OR($G83&gt;0,$O83&gt;0,$N83&lt;0.95),"REVIEW","OK")))</f>
        <v/>
      </c>
    </row>
    <row r="84" ht="18" customHeight="1" s="57">
      <c r="A84" s="70">
        <f>IF('Employee Master'!A57="","",'Employee Master'!A57)</f>
        <v/>
      </c>
      <c r="B84" s="63">
        <f>IF($A84="","",'Employee Master'!B57)</f>
        <v/>
      </c>
      <c r="C84" s="70">
        <f>IF($A84="","",'Employee Master'!C57)</f>
        <v/>
      </c>
      <c r="D84" s="70">
        <f>IF($A84="","",$B$5)</f>
        <v/>
      </c>
      <c r="E84" s="70">
        <f>IF($A84="","",Jan!AI57+Feb!AI57+Mar!AI57+Apr!AI57+May!AI57+Jun!AI57+Jul!AI57+Aug!AI57+Sep!AI57+Oct!AI57+Nov!AI57+Dec!AI57)</f>
        <v/>
      </c>
      <c r="F84" s="70">
        <f>IF($A84="","",Jan!AJ57+Feb!AJ57+Mar!AJ57+Apr!AJ57+May!AJ57+Jun!AJ57+Jul!AJ57+Aug!AJ57+Sep!AJ57+Oct!AJ57+Nov!AJ57+Dec!AJ57)</f>
        <v/>
      </c>
      <c r="G84" s="70">
        <f>IF($A84="","",Jan!AK57+Feb!AK57+Mar!AK57+Apr!AK57+May!AK57+Jun!AK57+Jul!AK57+Aug!AK57+Sep!AK57+Oct!AK57+Nov!AK57+Dec!AK57)</f>
        <v/>
      </c>
      <c r="H84" s="70">
        <f>IF($A84="","",Jan!AL57+Feb!AL57+Mar!AL57+Apr!AL57+May!AL57+Jun!AL57+Jul!AL57+Aug!AL57+Sep!AL57+Oct!AL57+Nov!AL57+Dec!AL57)</f>
        <v/>
      </c>
      <c r="I84" s="70">
        <f>IF($A84="","",Jan!AM57+Feb!AM57+Mar!AM57+Apr!AM57+May!AM57+Jun!AM57+Jul!AM57+Aug!AM57+Sep!AM57+Oct!AM57+Nov!AM57+Dec!AM57)</f>
        <v/>
      </c>
      <c r="J84" s="70">
        <f>IF($A84="","",Jan!AN57+Feb!AN57+Mar!AN57+Apr!AN57+May!AN57+Jun!AN57+Jul!AN57+Aug!AN57+Sep!AN57+Oct!AN57+Nov!AN57+Dec!AN57)</f>
        <v/>
      </c>
      <c r="K84" s="70">
        <f>IF($A84="","",Jan!AO57+Feb!AO57+Mar!AO57+Apr!AO57+May!AO57+Jun!AO57+Jul!AO57+Aug!AO57+Sep!AO57+Oct!AO57+Nov!AO57+Dec!AO57)</f>
        <v/>
      </c>
      <c r="L84" s="70">
        <f>IF($A84="","",Jan!AP57+Feb!AP57+Mar!AP57+Apr!AP57+May!AP57+Jun!AP57+Jul!AP57+Aug!AP57+Sep!AP57+Oct!AP57+Nov!AP57+Dec!AP57)</f>
        <v/>
      </c>
      <c r="M84" s="90">
        <f>IF(OR($A84="",$D84=0),"",$E84/$D84)</f>
        <v/>
      </c>
      <c r="N84" s="90">
        <f>IF(OR($A84="",$D84=0),"",($E84+$F84)/$D84)</f>
        <v/>
      </c>
      <c r="O84" s="70">
        <f>IF($A84="","",IF(Jan!AU57="",0,IF(Jan!AU57&lt;&gt;"OK",1,0))+IF(Feb!AU57="",0,IF(Feb!AU57&lt;&gt;"OK",1,0))+IF(Mar!AU57="",0,IF(Mar!AU57&lt;&gt;"OK",1,0))+IF(Apr!AU57="",0,IF(Apr!AU57&lt;&gt;"OK",1,0))+IF(May!AU57="",0,IF(May!AU57&lt;&gt;"OK",1,0))+IF(Jun!AU57="",0,IF(Jun!AU57&lt;&gt;"OK",1,0))+IF(Jul!AU57="",0,IF(Jul!AU57&lt;&gt;"OK",1,0))+IF(Aug!AU57="",0,IF(Aug!AU57&lt;&gt;"OK",1,0))+IF(Sep!AU57="",0,IF(Sep!AU57&lt;&gt;"OK",1,0))+IF(Oct!AU57="",0,IF(Oct!AU57&lt;&gt;"OK",1,0))+IF(Nov!AU57="",0,IF(Nov!AU57&lt;&gt;"OK",1,0))+IF(Dec!AU57="",0,IF(Dec!AU57&lt;&gt;"OK",1,0)))</f>
        <v/>
      </c>
      <c r="P84" s="70">
        <f>IF($A84="","",IF(OR(Jan!AU57="CRITICAL",Feb!AU57="CRITICAL",Mar!AU57="CRITICAL",Apr!AU57="CRITICAL",May!AU57="CRITICAL",Jun!AU57="CRITICAL",Jul!AU57="CRITICAL",Aug!AU57="CRITICAL",Sep!AU57="CRITICAL",Oct!AU57="CRITICAL",Nov!AU57="CRITICAL",Dec!AU57="CRITICAL",$G84&gt;=2),"CRITICAL",IF(OR($G84&gt;0,$O84&gt;0,$N84&lt;0.95),"REVIEW","OK")))</f>
        <v/>
      </c>
    </row>
    <row r="85" ht="18" customHeight="1" s="57">
      <c r="A85" s="70">
        <f>IF('Employee Master'!A58="","",'Employee Master'!A58)</f>
        <v/>
      </c>
      <c r="B85" s="63">
        <f>IF($A85="","",'Employee Master'!B58)</f>
        <v/>
      </c>
      <c r="C85" s="70">
        <f>IF($A85="","",'Employee Master'!C58)</f>
        <v/>
      </c>
      <c r="D85" s="70">
        <f>IF($A85="","",$B$5)</f>
        <v/>
      </c>
      <c r="E85" s="70">
        <f>IF($A85="","",Jan!AI58+Feb!AI58+Mar!AI58+Apr!AI58+May!AI58+Jun!AI58+Jul!AI58+Aug!AI58+Sep!AI58+Oct!AI58+Nov!AI58+Dec!AI58)</f>
        <v/>
      </c>
      <c r="F85" s="70">
        <f>IF($A85="","",Jan!AJ58+Feb!AJ58+Mar!AJ58+Apr!AJ58+May!AJ58+Jun!AJ58+Jul!AJ58+Aug!AJ58+Sep!AJ58+Oct!AJ58+Nov!AJ58+Dec!AJ58)</f>
        <v/>
      </c>
      <c r="G85" s="70">
        <f>IF($A85="","",Jan!AK58+Feb!AK58+Mar!AK58+Apr!AK58+May!AK58+Jun!AK58+Jul!AK58+Aug!AK58+Sep!AK58+Oct!AK58+Nov!AK58+Dec!AK58)</f>
        <v/>
      </c>
      <c r="H85" s="70">
        <f>IF($A85="","",Jan!AL58+Feb!AL58+Mar!AL58+Apr!AL58+May!AL58+Jun!AL58+Jul!AL58+Aug!AL58+Sep!AL58+Oct!AL58+Nov!AL58+Dec!AL58)</f>
        <v/>
      </c>
      <c r="I85" s="70">
        <f>IF($A85="","",Jan!AM58+Feb!AM58+Mar!AM58+Apr!AM58+May!AM58+Jun!AM58+Jul!AM58+Aug!AM58+Sep!AM58+Oct!AM58+Nov!AM58+Dec!AM58)</f>
        <v/>
      </c>
      <c r="J85" s="70">
        <f>IF($A85="","",Jan!AN58+Feb!AN58+Mar!AN58+Apr!AN58+May!AN58+Jun!AN58+Jul!AN58+Aug!AN58+Sep!AN58+Oct!AN58+Nov!AN58+Dec!AN58)</f>
        <v/>
      </c>
      <c r="K85" s="70">
        <f>IF($A85="","",Jan!AO58+Feb!AO58+Mar!AO58+Apr!AO58+May!AO58+Jun!AO58+Jul!AO58+Aug!AO58+Sep!AO58+Oct!AO58+Nov!AO58+Dec!AO58)</f>
        <v/>
      </c>
      <c r="L85" s="70">
        <f>IF($A85="","",Jan!AP58+Feb!AP58+Mar!AP58+Apr!AP58+May!AP58+Jun!AP58+Jul!AP58+Aug!AP58+Sep!AP58+Oct!AP58+Nov!AP58+Dec!AP58)</f>
        <v/>
      </c>
      <c r="M85" s="90">
        <f>IF(OR($A85="",$D85=0),"",$E85/$D85)</f>
        <v/>
      </c>
      <c r="N85" s="90">
        <f>IF(OR($A85="",$D85=0),"",($E85+$F85)/$D85)</f>
        <v/>
      </c>
      <c r="O85" s="70">
        <f>IF($A85="","",IF(Jan!AU58="",0,IF(Jan!AU58&lt;&gt;"OK",1,0))+IF(Feb!AU58="",0,IF(Feb!AU58&lt;&gt;"OK",1,0))+IF(Mar!AU58="",0,IF(Mar!AU58&lt;&gt;"OK",1,0))+IF(Apr!AU58="",0,IF(Apr!AU58&lt;&gt;"OK",1,0))+IF(May!AU58="",0,IF(May!AU58&lt;&gt;"OK",1,0))+IF(Jun!AU58="",0,IF(Jun!AU58&lt;&gt;"OK",1,0))+IF(Jul!AU58="",0,IF(Jul!AU58&lt;&gt;"OK",1,0))+IF(Aug!AU58="",0,IF(Aug!AU58&lt;&gt;"OK",1,0))+IF(Sep!AU58="",0,IF(Sep!AU58&lt;&gt;"OK",1,0))+IF(Oct!AU58="",0,IF(Oct!AU58&lt;&gt;"OK",1,0))+IF(Nov!AU58="",0,IF(Nov!AU58&lt;&gt;"OK",1,0))+IF(Dec!AU58="",0,IF(Dec!AU58&lt;&gt;"OK",1,0)))</f>
        <v/>
      </c>
      <c r="P85" s="70">
        <f>IF($A85="","",IF(OR(Jan!AU58="CRITICAL",Feb!AU58="CRITICAL",Mar!AU58="CRITICAL",Apr!AU58="CRITICAL",May!AU58="CRITICAL",Jun!AU58="CRITICAL",Jul!AU58="CRITICAL",Aug!AU58="CRITICAL",Sep!AU58="CRITICAL",Oct!AU58="CRITICAL",Nov!AU58="CRITICAL",Dec!AU58="CRITICAL",$G85&gt;=2),"CRITICAL",IF(OR($G85&gt;0,$O85&gt;0,$N85&lt;0.95),"REVIEW","OK")))</f>
        <v/>
      </c>
    </row>
    <row r="86" ht="18" customHeight="1" s="57">
      <c r="A86" s="70">
        <f>IF('Employee Master'!A59="","",'Employee Master'!A59)</f>
        <v/>
      </c>
      <c r="B86" s="63">
        <f>IF($A86="","",'Employee Master'!B59)</f>
        <v/>
      </c>
      <c r="C86" s="70">
        <f>IF($A86="","",'Employee Master'!C59)</f>
        <v/>
      </c>
      <c r="D86" s="70">
        <f>IF($A86="","",$B$5)</f>
        <v/>
      </c>
      <c r="E86" s="70">
        <f>IF($A86="","",Jan!AI59+Feb!AI59+Mar!AI59+Apr!AI59+May!AI59+Jun!AI59+Jul!AI59+Aug!AI59+Sep!AI59+Oct!AI59+Nov!AI59+Dec!AI59)</f>
        <v/>
      </c>
      <c r="F86" s="70">
        <f>IF($A86="","",Jan!AJ59+Feb!AJ59+Mar!AJ59+Apr!AJ59+May!AJ59+Jun!AJ59+Jul!AJ59+Aug!AJ59+Sep!AJ59+Oct!AJ59+Nov!AJ59+Dec!AJ59)</f>
        <v/>
      </c>
      <c r="G86" s="70">
        <f>IF($A86="","",Jan!AK59+Feb!AK59+Mar!AK59+Apr!AK59+May!AK59+Jun!AK59+Jul!AK59+Aug!AK59+Sep!AK59+Oct!AK59+Nov!AK59+Dec!AK59)</f>
        <v/>
      </c>
      <c r="H86" s="70">
        <f>IF($A86="","",Jan!AL59+Feb!AL59+Mar!AL59+Apr!AL59+May!AL59+Jun!AL59+Jul!AL59+Aug!AL59+Sep!AL59+Oct!AL59+Nov!AL59+Dec!AL59)</f>
        <v/>
      </c>
      <c r="I86" s="70">
        <f>IF($A86="","",Jan!AM59+Feb!AM59+Mar!AM59+Apr!AM59+May!AM59+Jun!AM59+Jul!AM59+Aug!AM59+Sep!AM59+Oct!AM59+Nov!AM59+Dec!AM59)</f>
        <v/>
      </c>
      <c r="J86" s="70">
        <f>IF($A86="","",Jan!AN59+Feb!AN59+Mar!AN59+Apr!AN59+May!AN59+Jun!AN59+Jul!AN59+Aug!AN59+Sep!AN59+Oct!AN59+Nov!AN59+Dec!AN59)</f>
        <v/>
      </c>
      <c r="K86" s="70">
        <f>IF($A86="","",Jan!AO59+Feb!AO59+Mar!AO59+Apr!AO59+May!AO59+Jun!AO59+Jul!AO59+Aug!AO59+Sep!AO59+Oct!AO59+Nov!AO59+Dec!AO59)</f>
        <v/>
      </c>
      <c r="L86" s="70">
        <f>IF($A86="","",Jan!AP59+Feb!AP59+Mar!AP59+Apr!AP59+May!AP59+Jun!AP59+Jul!AP59+Aug!AP59+Sep!AP59+Oct!AP59+Nov!AP59+Dec!AP59)</f>
        <v/>
      </c>
      <c r="M86" s="90">
        <f>IF(OR($A86="",$D86=0),"",$E86/$D86)</f>
        <v/>
      </c>
      <c r="N86" s="90">
        <f>IF(OR($A86="",$D86=0),"",($E86+$F86)/$D86)</f>
        <v/>
      </c>
      <c r="O86" s="70">
        <f>IF($A86="","",IF(Jan!AU59="",0,IF(Jan!AU59&lt;&gt;"OK",1,0))+IF(Feb!AU59="",0,IF(Feb!AU59&lt;&gt;"OK",1,0))+IF(Mar!AU59="",0,IF(Mar!AU59&lt;&gt;"OK",1,0))+IF(Apr!AU59="",0,IF(Apr!AU59&lt;&gt;"OK",1,0))+IF(May!AU59="",0,IF(May!AU59&lt;&gt;"OK",1,0))+IF(Jun!AU59="",0,IF(Jun!AU59&lt;&gt;"OK",1,0))+IF(Jul!AU59="",0,IF(Jul!AU59&lt;&gt;"OK",1,0))+IF(Aug!AU59="",0,IF(Aug!AU59&lt;&gt;"OK",1,0))+IF(Sep!AU59="",0,IF(Sep!AU59&lt;&gt;"OK",1,0))+IF(Oct!AU59="",0,IF(Oct!AU59&lt;&gt;"OK",1,0))+IF(Nov!AU59="",0,IF(Nov!AU59&lt;&gt;"OK",1,0))+IF(Dec!AU59="",0,IF(Dec!AU59&lt;&gt;"OK",1,0)))</f>
        <v/>
      </c>
      <c r="P86" s="70">
        <f>IF($A86="","",IF(OR(Jan!AU59="CRITICAL",Feb!AU59="CRITICAL",Mar!AU59="CRITICAL",Apr!AU59="CRITICAL",May!AU59="CRITICAL",Jun!AU59="CRITICAL",Jul!AU59="CRITICAL",Aug!AU59="CRITICAL",Sep!AU59="CRITICAL",Oct!AU59="CRITICAL",Nov!AU59="CRITICAL",Dec!AU59="CRITICAL",$G86&gt;=2),"CRITICAL",IF(OR($G86&gt;0,$O86&gt;0,$N86&lt;0.95),"REVIEW","OK")))</f>
        <v/>
      </c>
    </row>
    <row r="87" ht="18" customHeight="1" s="57">
      <c r="A87" s="70">
        <f>IF('Employee Master'!A60="","",'Employee Master'!A60)</f>
        <v/>
      </c>
      <c r="B87" s="63">
        <f>IF($A87="","",'Employee Master'!B60)</f>
        <v/>
      </c>
      <c r="C87" s="70">
        <f>IF($A87="","",'Employee Master'!C60)</f>
        <v/>
      </c>
      <c r="D87" s="70">
        <f>IF($A87="","",$B$5)</f>
        <v/>
      </c>
      <c r="E87" s="70">
        <f>IF($A87="","",Jan!AI60+Feb!AI60+Mar!AI60+Apr!AI60+May!AI60+Jun!AI60+Jul!AI60+Aug!AI60+Sep!AI60+Oct!AI60+Nov!AI60+Dec!AI60)</f>
        <v/>
      </c>
      <c r="F87" s="70">
        <f>IF($A87="","",Jan!AJ60+Feb!AJ60+Mar!AJ60+Apr!AJ60+May!AJ60+Jun!AJ60+Jul!AJ60+Aug!AJ60+Sep!AJ60+Oct!AJ60+Nov!AJ60+Dec!AJ60)</f>
        <v/>
      </c>
      <c r="G87" s="70">
        <f>IF($A87="","",Jan!AK60+Feb!AK60+Mar!AK60+Apr!AK60+May!AK60+Jun!AK60+Jul!AK60+Aug!AK60+Sep!AK60+Oct!AK60+Nov!AK60+Dec!AK60)</f>
        <v/>
      </c>
      <c r="H87" s="70">
        <f>IF($A87="","",Jan!AL60+Feb!AL60+Mar!AL60+Apr!AL60+May!AL60+Jun!AL60+Jul!AL60+Aug!AL60+Sep!AL60+Oct!AL60+Nov!AL60+Dec!AL60)</f>
        <v/>
      </c>
      <c r="I87" s="70">
        <f>IF($A87="","",Jan!AM60+Feb!AM60+Mar!AM60+Apr!AM60+May!AM60+Jun!AM60+Jul!AM60+Aug!AM60+Sep!AM60+Oct!AM60+Nov!AM60+Dec!AM60)</f>
        <v/>
      </c>
      <c r="J87" s="70">
        <f>IF($A87="","",Jan!AN60+Feb!AN60+Mar!AN60+Apr!AN60+May!AN60+Jun!AN60+Jul!AN60+Aug!AN60+Sep!AN60+Oct!AN60+Nov!AN60+Dec!AN60)</f>
        <v/>
      </c>
      <c r="K87" s="70">
        <f>IF($A87="","",Jan!AO60+Feb!AO60+Mar!AO60+Apr!AO60+May!AO60+Jun!AO60+Jul!AO60+Aug!AO60+Sep!AO60+Oct!AO60+Nov!AO60+Dec!AO60)</f>
        <v/>
      </c>
      <c r="L87" s="70">
        <f>IF($A87="","",Jan!AP60+Feb!AP60+Mar!AP60+Apr!AP60+May!AP60+Jun!AP60+Jul!AP60+Aug!AP60+Sep!AP60+Oct!AP60+Nov!AP60+Dec!AP60)</f>
        <v/>
      </c>
      <c r="M87" s="90">
        <f>IF(OR($A87="",$D87=0),"",$E87/$D87)</f>
        <v/>
      </c>
      <c r="N87" s="90">
        <f>IF(OR($A87="",$D87=0),"",($E87+$F87)/$D87)</f>
        <v/>
      </c>
      <c r="O87" s="70">
        <f>IF($A87="","",IF(Jan!AU60="",0,IF(Jan!AU60&lt;&gt;"OK",1,0))+IF(Feb!AU60="",0,IF(Feb!AU60&lt;&gt;"OK",1,0))+IF(Mar!AU60="",0,IF(Mar!AU60&lt;&gt;"OK",1,0))+IF(Apr!AU60="",0,IF(Apr!AU60&lt;&gt;"OK",1,0))+IF(May!AU60="",0,IF(May!AU60&lt;&gt;"OK",1,0))+IF(Jun!AU60="",0,IF(Jun!AU60&lt;&gt;"OK",1,0))+IF(Jul!AU60="",0,IF(Jul!AU60&lt;&gt;"OK",1,0))+IF(Aug!AU60="",0,IF(Aug!AU60&lt;&gt;"OK",1,0))+IF(Sep!AU60="",0,IF(Sep!AU60&lt;&gt;"OK",1,0))+IF(Oct!AU60="",0,IF(Oct!AU60&lt;&gt;"OK",1,0))+IF(Nov!AU60="",0,IF(Nov!AU60&lt;&gt;"OK",1,0))+IF(Dec!AU60="",0,IF(Dec!AU60&lt;&gt;"OK",1,0)))</f>
        <v/>
      </c>
      <c r="P87" s="70">
        <f>IF($A87="","",IF(OR(Jan!AU60="CRITICAL",Feb!AU60="CRITICAL",Mar!AU60="CRITICAL",Apr!AU60="CRITICAL",May!AU60="CRITICAL",Jun!AU60="CRITICAL",Jul!AU60="CRITICAL",Aug!AU60="CRITICAL",Sep!AU60="CRITICAL",Oct!AU60="CRITICAL",Nov!AU60="CRITICAL",Dec!AU60="CRITICAL",$G87&gt;=2),"CRITICAL",IF(OR($G87&gt;0,$O87&gt;0,$N87&lt;0.95),"REVIEW","OK")))</f>
        <v/>
      </c>
    </row>
    <row r="88" ht="18" customHeight="1" s="57">
      <c r="A88" s="70">
        <f>IF('Employee Master'!A61="","",'Employee Master'!A61)</f>
        <v/>
      </c>
      <c r="B88" s="63">
        <f>IF($A88="","",'Employee Master'!B61)</f>
        <v/>
      </c>
      <c r="C88" s="70">
        <f>IF($A88="","",'Employee Master'!C61)</f>
        <v/>
      </c>
      <c r="D88" s="70">
        <f>IF($A88="","",$B$5)</f>
        <v/>
      </c>
      <c r="E88" s="70">
        <f>IF($A88="","",Jan!AI61+Feb!AI61+Mar!AI61+Apr!AI61+May!AI61+Jun!AI61+Jul!AI61+Aug!AI61+Sep!AI61+Oct!AI61+Nov!AI61+Dec!AI61)</f>
        <v/>
      </c>
      <c r="F88" s="70">
        <f>IF($A88="","",Jan!AJ61+Feb!AJ61+Mar!AJ61+Apr!AJ61+May!AJ61+Jun!AJ61+Jul!AJ61+Aug!AJ61+Sep!AJ61+Oct!AJ61+Nov!AJ61+Dec!AJ61)</f>
        <v/>
      </c>
      <c r="G88" s="70">
        <f>IF($A88="","",Jan!AK61+Feb!AK61+Mar!AK61+Apr!AK61+May!AK61+Jun!AK61+Jul!AK61+Aug!AK61+Sep!AK61+Oct!AK61+Nov!AK61+Dec!AK61)</f>
        <v/>
      </c>
      <c r="H88" s="70">
        <f>IF($A88="","",Jan!AL61+Feb!AL61+Mar!AL61+Apr!AL61+May!AL61+Jun!AL61+Jul!AL61+Aug!AL61+Sep!AL61+Oct!AL61+Nov!AL61+Dec!AL61)</f>
        <v/>
      </c>
      <c r="I88" s="70">
        <f>IF($A88="","",Jan!AM61+Feb!AM61+Mar!AM61+Apr!AM61+May!AM61+Jun!AM61+Jul!AM61+Aug!AM61+Sep!AM61+Oct!AM61+Nov!AM61+Dec!AM61)</f>
        <v/>
      </c>
      <c r="J88" s="70">
        <f>IF($A88="","",Jan!AN61+Feb!AN61+Mar!AN61+Apr!AN61+May!AN61+Jun!AN61+Jul!AN61+Aug!AN61+Sep!AN61+Oct!AN61+Nov!AN61+Dec!AN61)</f>
        <v/>
      </c>
      <c r="K88" s="70">
        <f>IF($A88="","",Jan!AO61+Feb!AO61+Mar!AO61+Apr!AO61+May!AO61+Jun!AO61+Jul!AO61+Aug!AO61+Sep!AO61+Oct!AO61+Nov!AO61+Dec!AO61)</f>
        <v/>
      </c>
      <c r="L88" s="70">
        <f>IF($A88="","",Jan!AP61+Feb!AP61+Mar!AP61+Apr!AP61+May!AP61+Jun!AP61+Jul!AP61+Aug!AP61+Sep!AP61+Oct!AP61+Nov!AP61+Dec!AP61)</f>
        <v/>
      </c>
      <c r="M88" s="90">
        <f>IF(OR($A88="",$D88=0),"",$E88/$D88)</f>
        <v/>
      </c>
      <c r="N88" s="90">
        <f>IF(OR($A88="",$D88=0),"",($E88+$F88)/$D88)</f>
        <v/>
      </c>
      <c r="O88" s="70">
        <f>IF($A88="","",IF(Jan!AU61="",0,IF(Jan!AU61&lt;&gt;"OK",1,0))+IF(Feb!AU61="",0,IF(Feb!AU61&lt;&gt;"OK",1,0))+IF(Mar!AU61="",0,IF(Mar!AU61&lt;&gt;"OK",1,0))+IF(Apr!AU61="",0,IF(Apr!AU61&lt;&gt;"OK",1,0))+IF(May!AU61="",0,IF(May!AU61&lt;&gt;"OK",1,0))+IF(Jun!AU61="",0,IF(Jun!AU61&lt;&gt;"OK",1,0))+IF(Jul!AU61="",0,IF(Jul!AU61&lt;&gt;"OK",1,0))+IF(Aug!AU61="",0,IF(Aug!AU61&lt;&gt;"OK",1,0))+IF(Sep!AU61="",0,IF(Sep!AU61&lt;&gt;"OK",1,0))+IF(Oct!AU61="",0,IF(Oct!AU61&lt;&gt;"OK",1,0))+IF(Nov!AU61="",0,IF(Nov!AU61&lt;&gt;"OK",1,0))+IF(Dec!AU61="",0,IF(Dec!AU61&lt;&gt;"OK",1,0)))</f>
        <v/>
      </c>
      <c r="P88" s="70">
        <f>IF($A88="","",IF(OR(Jan!AU61="CRITICAL",Feb!AU61="CRITICAL",Mar!AU61="CRITICAL",Apr!AU61="CRITICAL",May!AU61="CRITICAL",Jun!AU61="CRITICAL",Jul!AU61="CRITICAL",Aug!AU61="CRITICAL",Sep!AU61="CRITICAL",Oct!AU61="CRITICAL",Nov!AU61="CRITICAL",Dec!AU61="CRITICAL",$G88&gt;=2),"CRITICAL",IF(OR($G88&gt;0,$O88&gt;0,$N88&lt;0.95),"REVIEW","OK")))</f>
        <v/>
      </c>
    </row>
    <row r="89" ht="18" customHeight="1" s="57">
      <c r="A89" s="70">
        <f>IF('Employee Master'!A62="","",'Employee Master'!A62)</f>
        <v/>
      </c>
      <c r="B89" s="63">
        <f>IF($A89="","",'Employee Master'!B62)</f>
        <v/>
      </c>
      <c r="C89" s="70">
        <f>IF($A89="","",'Employee Master'!C62)</f>
        <v/>
      </c>
      <c r="D89" s="70">
        <f>IF($A89="","",$B$5)</f>
        <v/>
      </c>
      <c r="E89" s="70">
        <f>IF($A89="","",Jan!AI62+Feb!AI62+Mar!AI62+Apr!AI62+May!AI62+Jun!AI62+Jul!AI62+Aug!AI62+Sep!AI62+Oct!AI62+Nov!AI62+Dec!AI62)</f>
        <v/>
      </c>
      <c r="F89" s="70">
        <f>IF($A89="","",Jan!AJ62+Feb!AJ62+Mar!AJ62+Apr!AJ62+May!AJ62+Jun!AJ62+Jul!AJ62+Aug!AJ62+Sep!AJ62+Oct!AJ62+Nov!AJ62+Dec!AJ62)</f>
        <v/>
      </c>
      <c r="G89" s="70">
        <f>IF($A89="","",Jan!AK62+Feb!AK62+Mar!AK62+Apr!AK62+May!AK62+Jun!AK62+Jul!AK62+Aug!AK62+Sep!AK62+Oct!AK62+Nov!AK62+Dec!AK62)</f>
        <v/>
      </c>
      <c r="H89" s="70">
        <f>IF($A89="","",Jan!AL62+Feb!AL62+Mar!AL62+Apr!AL62+May!AL62+Jun!AL62+Jul!AL62+Aug!AL62+Sep!AL62+Oct!AL62+Nov!AL62+Dec!AL62)</f>
        <v/>
      </c>
      <c r="I89" s="70">
        <f>IF($A89="","",Jan!AM62+Feb!AM62+Mar!AM62+Apr!AM62+May!AM62+Jun!AM62+Jul!AM62+Aug!AM62+Sep!AM62+Oct!AM62+Nov!AM62+Dec!AM62)</f>
        <v/>
      </c>
      <c r="J89" s="70">
        <f>IF($A89="","",Jan!AN62+Feb!AN62+Mar!AN62+Apr!AN62+May!AN62+Jun!AN62+Jul!AN62+Aug!AN62+Sep!AN62+Oct!AN62+Nov!AN62+Dec!AN62)</f>
        <v/>
      </c>
      <c r="K89" s="70">
        <f>IF($A89="","",Jan!AO62+Feb!AO62+Mar!AO62+Apr!AO62+May!AO62+Jun!AO62+Jul!AO62+Aug!AO62+Sep!AO62+Oct!AO62+Nov!AO62+Dec!AO62)</f>
        <v/>
      </c>
      <c r="L89" s="70">
        <f>IF($A89="","",Jan!AP62+Feb!AP62+Mar!AP62+Apr!AP62+May!AP62+Jun!AP62+Jul!AP62+Aug!AP62+Sep!AP62+Oct!AP62+Nov!AP62+Dec!AP62)</f>
        <v/>
      </c>
      <c r="M89" s="90">
        <f>IF(OR($A89="",$D89=0),"",$E89/$D89)</f>
        <v/>
      </c>
      <c r="N89" s="90">
        <f>IF(OR($A89="",$D89=0),"",($E89+$F89)/$D89)</f>
        <v/>
      </c>
      <c r="O89" s="70">
        <f>IF($A89="","",IF(Jan!AU62="",0,IF(Jan!AU62&lt;&gt;"OK",1,0))+IF(Feb!AU62="",0,IF(Feb!AU62&lt;&gt;"OK",1,0))+IF(Mar!AU62="",0,IF(Mar!AU62&lt;&gt;"OK",1,0))+IF(Apr!AU62="",0,IF(Apr!AU62&lt;&gt;"OK",1,0))+IF(May!AU62="",0,IF(May!AU62&lt;&gt;"OK",1,0))+IF(Jun!AU62="",0,IF(Jun!AU62&lt;&gt;"OK",1,0))+IF(Jul!AU62="",0,IF(Jul!AU62&lt;&gt;"OK",1,0))+IF(Aug!AU62="",0,IF(Aug!AU62&lt;&gt;"OK",1,0))+IF(Sep!AU62="",0,IF(Sep!AU62&lt;&gt;"OK",1,0))+IF(Oct!AU62="",0,IF(Oct!AU62&lt;&gt;"OK",1,0))+IF(Nov!AU62="",0,IF(Nov!AU62&lt;&gt;"OK",1,0))+IF(Dec!AU62="",0,IF(Dec!AU62&lt;&gt;"OK",1,0)))</f>
        <v/>
      </c>
      <c r="P89" s="70">
        <f>IF($A89="","",IF(OR(Jan!AU62="CRITICAL",Feb!AU62="CRITICAL",Mar!AU62="CRITICAL",Apr!AU62="CRITICAL",May!AU62="CRITICAL",Jun!AU62="CRITICAL",Jul!AU62="CRITICAL",Aug!AU62="CRITICAL",Sep!AU62="CRITICAL",Oct!AU62="CRITICAL",Nov!AU62="CRITICAL",Dec!AU62="CRITICAL",$G89&gt;=2),"CRITICAL",IF(OR($G89&gt;0,$O89&gt;0,$N89&lt;0.95),"REVIEW","OK")))</f>
        <v/>
      </c>
    </row>
    <row r="90" ht="18" customHeight="1" s="57">
      <c r="A90" s="70">
        <f>IF('Employee Master'!A63="","",'Employee Master'!A63)</f>
        <v/>
      </c>
      <c r="B90" s="63">
        <f>IF($A90="","",'Employee Master'!B63)</f>
        <v/>
      </c>
      <c r="C90" s="70">
        <f>IF($A90="","",'Employee Master'!C63)</f>
        <v/>
      </c>
      <c r="D90" s="70">
        <f>IF($A90="","",$B$5)</f>
        <v/>
      </c>
      <c r="E90" s="70">
        <f>IF($A90="","",Jan!AI63+Feb!AI63+Mar!AI63+Apr!AI63+May!AI63+Jun!AI63+Jul!AI63+Aug!AI63+Sep!AI63+Oct!AI63+Nov!AI63+Dec!AI63)</f>
        <v/>
      </c>
      <c r="F90" s="70">
        <f>IF($A90="","",Jan!AJ63+Feb!AJ63+Mar!AJ63+Apr!AJ63+May!AJ63+Jun!AJ63+Jul!AJ63+Aug!AJ63+Sep!AJ63+Oct!AJ63+Nov!AJ63+Dec!AJ63)</f>
        <v/>
      </c>
      <c r="G90" s="70">
        <f>IF($A90="","",Jan!AK63+Feb!AK63+Mar!AK63+Apr!AK63+May!AK63+Jun!AK63+Jul!AK63+Aug!AK63+Sep!AK63+Oct!AK63+Nov!AK63+Dec!AK63)</f>
        <v/>
      </c>
      <c r="H90" s="70">
        <f>IF($A90="","",Jan!AL63+Feb!AL63+Mar!AL63+Apr!AL63+May!AL63+Jun!AL63+Jul!AL63+Aug!AL63+Sep!AL63+Oct!AL63+Nov!AL63+Dec!AL63)</f>
        <v/>
      </c>
      <c r="I90" s="70">
        <f>IF($A90="","",Jan!AM63+Feb!AM63+Mar!AM63+Apr!AM63+May!AM63+Jun!AM63+Jul!AM63+Aug!AM63+Sep!AM63+Oct!AM63+Nov!AM63+Dec!AM63)</f>
        <v/>
      </c>
      <c r="J90" s="70">
        <f>IF($A90="","",Jan!AN63+Feb!AN63+Mar!AN63+Apr!AN63+May!AN63+Jun!AN63+Jul!AN63+Aug!AN63+Sep!AN63+Oct!AN63+Nov!AN63+Dec!AN63)</f>
        <v/>
      </c>
      <c r="K90" s="70">
        <f>IF($A90="","",Jan!AO63+Feb!AO63+Mar!AO63+Apr!AO63+May!AO63+Jun!AO63+Jul!AO63+Aug!AO63+Sep!AO63+Oct!AO63+Nov!AO63+Dec!AO63)</f>
        <v/>
      </c>
      <c r="L90" s="70">
        <f>IF($A90="","",Jan!AP63+Feb!AP63+Mar!AP63+Apr!AP63+May!AP63+Jun!AP63+Jul!AP63+Aug!AP63+Sep!AP63+Oct!AP63+Nov!AP63+Dec!AP63)</f>
        <v/>
      </c>
      <c r="M90" s="90">
        <f>IF(OR($A90="",$D90=0),"",$E90/$D90)</f>
        <v/>
      </c>
      <c r="N90" s="90">
        <f>IF(OR($A90="",$D90=0),"",($E90+$F90)/$D90)</f>
        <v/>
      </c>
      <c r="O90" s="70">
        <f>IF($A90="","",IF(Jan!AU63="",0,IF(Jan!AU63&lt;&gt;"OK",1,0))+IF(Feb!AU63="",0,IF(Feb!AU63&lt;&gt;"OK",1,0))+IF(Mar!AU63="",0,IF(Mar!AU63&lt;&gt;"OK",1,0))+IF(Apr!AU63="",0,IF(Apr!AU63&lt;&gt;"OK",1,0))+IF(May!AU63="",0,IF(May!AU63&lt;&gt;"OK",1,0))+IF(Jun!AU63="",0,IF(Jun!AU63&lt;&gt;"OK",1,0))+IF(Jul!AU63="",0,IF(Jul!AU63&lt;&gt;"OK",1,0))+IF(Aug!AU63="",0,IF(Aug!AU63&lt;&gt;"OK",1,0))+IF(Sep!AU63="",0,IF(Sep!AU63&lt;&gt;"OK",1,0))+IF(Oct!AU63="",0,IF(Oct!AU63&lt;&gt;"OK",1,0))+IF(Nov!AU63="",0,IF(Nov!AU63&lt;&gt;"OK",1,0))+IF(Dec!AU63="",0,IF(Dec!AU63&lt;&gt;"OK",1,0)))</f>
        <v/>
      </c>
      <c r="P90" s="70">
        <f>IF($A90="","",IF(OR(Jan!AU63="CRITICAL",Feb!AU63="CRITICAL",Mar!AU63="CRITICAL",Apr!AU63="CRITICAL",May!AU63="CRITICAL",Jun!AU63="CRITICAL",Jul!AU63="CRITICAL",Aug!AU63="CRITICAL",Sep!AU63="CRITICAL",Oct!AU63="CRITICAL",Nov!AU63="CRITICAL",Dec!AU63="CRITICAL",$G90&gt;=2),"CRITICAL",IF(OR($G90&gt;0,$O90&gt;0,$N90&lt;0.95),"REVIEW","OK")))</f>
        <v/>
      </c>
    </row>
    <row r="91" ht="18" customHeight="1" s="57">
      <c r="A91" s="70">
        <f>IF('Employee Master'!A64="","",'Employee Master'!A64)</f>
        <v/>
      </c>
      <c r="B91" s="63">
        <f>IF($A91="","",'Employee Master'!B64)</f>
        <v/>
      </c>
      <c r="C91" s="70">
        <f>IF($A91="","",'Employee Master'!C64)</f>
        <v/>
      </c>
      <c r="D91" s="70">
        <f>IF($A91="","",$B$5)</f>
        <v/>
      </c>
      <c r="E91" s="70">
        <f>IF($A91="","",Jan!AI64+Feb!AI64+Mar!AI64+Apr!AI64+May!AI64+Jun!AI64+Jul!AI64+Aug!AI64+Sep!AI64+Oct!AI64+Nov!AI64+Dec!AI64)</f>
        <v/>
      </c>
      <c r="F91" s="70">
        <f>IF($A91="","",Jan!AJ64+Feb!AJ64+Mar!AJ64+Apr!AJ64+May!AJ64+Jun!AJ64+Jul!AJ64+Aug!AJ64+Sep!AJ64+Oct!AJ64+Nov!AJ64+Dec!AJ64)</f>
        <v/>
      </c>
      <c r="G91" s="70">
        <f>IF($A91="","",Jan!AK64+Feb!AK64+Mar!AK64+Apr!AK64+May!AK64+Jun!AK64+Jul!AK64+Aug!AK64+Sep!AK64+Oct!AK64+Nov!AK64+Dec!AK64)</f>
        <v/>
      </c>
      <c r="H91" s="70">
        <f>IF($A91="","",Jan!AL64+Feb!AL64+Mar!AL64+Apr!AL64+May!AL64+Jun!AL64+Jul!AL64+Aug!AL64+Sep!AL64+Oct!AL64+Nov!AL64+Dec!AL64)</f>
        <v/>
      </c>
      <c r="I91" s="70">
        <f>IF($A91="","",Jan!AM64+Feb!AM64+Mar!AM64+Apr!AM64+May!AM64+Jun!AM64+Jul!AM64+Aug!AM64+Sep!AM64+Oct!AM64+Nov!AM64+Dec!AM64)</f>
        <v/>
      </c>
      <c r="J91" s="70">
        <f>IF($A91="","",Jan!AN64+Feb!AN64+Mar!AN64+Apr!AN64+May!AN64+Jun!AN64+Jul!AN64+Aug!AN64+Sep!AN64+Oct!AN64+Nov!AN64+Dec!AN64)</f>
        <v/>
      </c>
      <c r="K91" s="70">
        <f>IF($A91="","",Jan!AO64+Feb!AO64+Mar!AO64+Apr!AO64+May!AO64+Jun!AO64+Jul!AO64+Aug!AO64+Sep!AO64+Oct!AO64+Nov!AO64+Dec!AO64)</f>
        <v/>
      </c>
      <c r="L91" s="70">
        <f>IF($A91="","",Jan!AP64+Feb!AP64+Mar!AP64+Apr!AP64+May!AP64+Jun!AP64+Jul!AP64+Aug!AP64+Sep!AP64+Oct!AP64+Nov!AP64+Dec!AP64)</f>
        <v/>
      </c>
      <c r="M91" s="90">
        <f>IF(OR($A91="",$D91=0),"",$E91/$D91)</f>
        <v/>
      </c>
      <c r="N91" s="90">
        <f>IF(OR($A91="",$D91=0),"",($E91+$F91)/$D91)</f>
        <v/>
      </c>
      <c r="O91" s="70">
        <f>IF($A91="","",IF(Jan!AU64="",0,IF(Jan!AU64&lt;&gt;"OK",1,0))+IF(Feb!AU64="",0,IF(Feb!AU64&lt;&gt;"OK",1,0))+IF(Mar!AU64="",0,IF(Mar!AU64&lt;&gt;"OK",1,0))+IF(Apr!AU64="",0,IF(Apr!AU64&lt;&gt;"OK",1,0))+IF(May!AU64="",0,IF(May!AU64&lt;&gt;"OK",1,0))+IF(Jun!AU64="",0,IF(Jun!AU64&lt;&gt;"OK",1,0))+IF(Jul!AU64="",0,IF(Jul!AU64&lt;&gt;"OK",1,0))+IF(Aug!AU64="",0,IF(Aug!AU64&lt;&gt;"OK",1,0))+IF(Sep!AU64="",0,IF(Sep!AU64&lt;&gt;"OK",1,0))+IF(Oct!AU64="",0,IF(Oct!AU64&lt;&gt;"OK",1,0))+IF(Nov!AU64="",0,IF(Nov!AU64&lt;&gt;"OK",1,0))+IF(Dec!AU64="",0,IF(Dec!AU64&lt;&gt;"OK",1,0)))</f>
        <v/>
      </c>
      <c r="P91" s="70">
        <f>IF($A91="","",IF(OR(Jan!AU64="CRITICAL",Feb!AU64="CRITICAL",Mar!AU64="CRITICAL",Apr!AU64="CRITICAL",May!AU64="CRITICAL",Jun!AU64="CRITICAL",Jul!AU64="CRITICAL",Aug!AU64="CRITICAL",Sep!AU64="CRITICAL",Oct!AU64="CRITICAL",Nov!AU64="CRITICAL",Dec!AU64="CRITICAL",$G91&gt;=2),"CRITICAL",IF(OR($G91&gt;0,$O91&gt;0,$N91&lt;0.95),"REVIEW","OK")))</f>
        <v/>
      </c>
    </row>
    <row r="92" ht="18" customHeight="1" s="57">
      <c r="A92" s="70">
        <f>IF('Employee Master'!A65="","",'Employee Master'!A65)</f>
        <v/>
      </c>
      <c r="B92" s="63">
        <f>IF($A92="","",'Employee Master'!B65)</f>
        <v/>
      </c>
      <c r="C92" s="70">
        <f>IF($A92="","",'Employee Master'!C65)</f>
        <v/>
      </c>
      <c r="D92" s="70">
        <f>IF($A92="","",$B$5)</f>
        <v/>
      </c>
      <c r="E92" s="70">
        <f>IF($A92="","",Jan!AI65+Feb!AI65+Mar!AI65+Apr!AI65+May!AI65+Jun!AI65+Jul!AI65+Aug!AI65+Sep!AI65+Oct!AI65+Nov!AI65+Dec!AI65)</f>
        <v/>
      </c>
      <c r="F92" s="70">
        <f>IF($A92="","",Jan!AJ65+Feb!AJ65+Mar!AJ65+Apr!AJ65+May!AJ65+Jun!AJ65+Jul!AJ65+Aug!AJ65+Sep!AJ65+Oct!AJ65+Nov!AJ65+Dec!AJ65)</f>
        <v/>
      </c>
      <c r="G92" s="70">
        <f>IF($A92="","",Jan!AK65+Feb!AK65+Mar!AK65+Apr!AK65+May!AK65+Jun!AK65+Jul!AK65+Aug!AK65+Sep!AK65+Oct!AK65+Nov!AK65+Dec!AK65)</f>
        <v/>
      </c>
      <c r="H92" s="70">
        <f>IF($A92="","",Jan!AL65+Feb!AL65+Mar!AL65+Apr!AL65+May!AL65+Jun!AL65+Jul!AL65+Aug!AL65+Sep!AL65+Oct!AL65+Nov!AL65+Dec!AL65)</f>
        <v/>
      </c>
      <c r="I92" s="70">
        <f>IF($A92="","",Jan!AM65+Feb!AM65+Mar!AM65+Apr!AM65+May!AM65+Jun!AM65+Jul!AM65+Aug!AM65+Sep!AM65+Oct!AM65+Nov!AM65+Dec!AM65)</f>
        <v/>
      </c>
      <c r="J92" s="70">
        <f>IF($A92="","",Jan!AN65+Feb!AN65+Mar!AN65+Apr!AN65+May!AN65+Jun!AN65+Jul!AN65+Aug!AN65+Sep!AN65+Oct!AN65+Nov!AN65+Dec!AN65)</f>
        <v/>
      </c>
      <c r="K92" s="70">
        <f>IF($A92="","",Jan!AO65+Feb!AO65+Mar!AO65+Apr!AO65+May!AO65+Jun!AO65+Jul!AO65+Aug!AO65+Sep!AO65+Oct!AO65+Nov!AO65+Dec!AO65)</f>
        <v/>
      </c>
      <c r="L92" s="70">
        <f>IF($A92="","",Jan!AP65+Feb!AP65+Mar!AP65+Apr!AP65+May!AP65+Jun!AP65+Jul!AP65+Aug!AP65+Sep!AP65+Oct!AP65+Nov!AP65+Dec!AP65)</f>
        <v/>
      </c>
      <c r="M92" s="90">
        <f>IF(OR($A92="",$D92=0),"",$E92/$D92)</f>
        <v/>
      </c>
      <c r="N92" s="90">
        <f>IF(OR($A92="",$D92=0),"",($E92+$F92)/$D92)</f>
        <v/>
      </c>
      <c r="O92" s="70">
        <f>IF($A92="","",IF(Jan!AU65="",0,IF(Jan!AU65&lt;&gt;"OK",1,0))+IF(Feb!AU65="",0,IF(Feb!AU65&lt;&gt;"OK",1,0))+IF(Mar!AU65="",0,IF(Mar!AU65&lt;&gt;"OK",1,0))+IF(Apr!AU65="",0,IF(Apr!AU65&lt;&gt;"OK",1,0))+IF(May!AU65="",0,IF(May!AU65&lt;&gt;"OK",1,0))+IF(Jun!AU65="",0,IF(Jun!AU65&lt;&gt;"OK",1,0))+IF(Jul!AU65="",0,IF(Jul!AU65&lt;&gt;"OK",1,0))+IF(Aug!AU65="",0,IF(Aug!AU65&lt;&gt;"OK",1,0))+IF(Sep!AU65="",0,IF(Sep!AU65&lt;&gt;"OK",1,0))+IF(Oct!AU65="",0,IF(Oct!AU65&lt;&gt;"OK",1,0))+IF(Nov!AU65="",0,IF(Nov!AU65&lt;&gt;"OK",1,0))+IF(Dec!AU65="",0,IF(Dec!AU65&lt;&gt;"OK",1,0)))</f>
        <v/>
      </c>
      <c r="P92" s="70">
        <f>IF($A92="","",IF(OR(Jan!AU65="CRITICAL",Feb!AU65="CRITICAL",Mar!AU65="CRITICAL",Apr!AU65="CRITICAL",May!AU65="CRITICAL",Jun!AU65="CRITICAL",Jul!AU65="CRITICAL",Aug!AU65="CRITICAL",Sep!AU65="CRITICAL",Oct!AU65="CRITICAL",Nov!AU65="CRITICAL",Dec!AU65="CRITICAL",$G92&gt;=2),"CRITICAL",IF(OR($G92&gt;0,$O92&gt;0,$N92&lt;0.95),"REVIEW","OK")))</f>
        <v/>
      </c>
    </row>
    <row r="93" ht="18" customHeight="1" s="57">
      <c r="A93" s="70">
        <f>IF('Employee Master'!A66="","",'Employee Master'!A66)</f>
        <v/>
      </c>
      <c r="B93" s="63">
        <f>IF($A93="","",'Employee Master'!B66)</f>
        <v/>
      </c>
      <c r="C93" s="70">
        <f>IF($A93="","",'Employee Master'!C66)</f>
        <v/>
      </c>
      <c r="D93" s="70">
        <f>IF($A93="","",$B$5)</f>
        <v/>
      </c>
      <c r="E93" s="70">
        <f>IF($A93="","",Jan!AI66+Feb!AI66+Mar!AI66+Apr!AI66+May!AI66+Jun!AI66+Jul!AI66+Aug!AI66+Sep!AI66+Oct!AI66+Nov!AI66+Dec!AI66)</f>
        <v/>
      </c>
      <c r="F93" s="70">
        <f>IF($A93="","",Jan!AJ66+Feb!AJ66+Mar!AJ66+Apr!AJ66+May!AJ66+Jun!AJ66+Jul!AJ66+Aug!AJ66+Sep!AJ66+Oct!AJ66+Nov!AJ66+Dec!AJ66)</f>
        <v/>
      </c>
      <c r="G93" s="70">
        <f>IF($A93="","",Jan!AK66+Feb!AK66+Mar!AK66+Apr!AK66+May!AK66+Jun!AK66+Jul!AK66+Aug!AK66+Sep!AK66+Oct!AK66+Nov!AK66+Dec!AK66)</f>
        <v/>
      </c>
      <c r="H93" s="70">
        <f>IF($A93="","",Jan!AL66+Feb!AL66+Mar!AL66+Apr!AL66+May!AL66+Jun!AL66+Jul!AL66+Aug!AL66+Sep!AL66+Oct!AL66+Nov!AL66+Dec!AL66)</f>
        <v/>
      </c>
      <c r="I93" s="70">
        <f>IF($A93="","",Jan!AM66+Feb!AM66+Mar!AM66+Apr!AM66+May!AM66+Jun!AM66+Jul!AM66+Aug!AM66+Sep!AM66+Oct!AM66+Nov!AM66+Dec!AM66)</f>
        <v/>
      </c>
      <c r="J93" s="70">
        <f>IF($A93="","",Jan!AN66+Feb!AN66+Mar!AN66+Apr!AN66+May!AN66+Jun!AN66+Jul!AN66+Aug!AN66+Sep!AN66+Oct!AN66+Nov!AN66+Dec!AN66)</f>
        <v/>
      </c>
      <c r="K93" s="70">
        <f>IF($A93="","",Jan!AO66+Feb!AO66+Mar!AO66+Apr!AO66+May!AO66+Jun!AO66+Jul!AO66+Aug!AO66+Sep!AO66+Oct!AO66+Nov!AO66+Dec!AO66)</f>
        <v/>
      </c>
      <c r="L93" s="70">
        <f>IF($A93="","",Jan!AP66+Feb!AP66+Mar!AP66+Apr!AP66+May!AP66+Jun!AP66+Jul!AP66+Aug!AP66+Sep!AP66+Oct!AP66+Nov!AP66+Dec!AP66)</f>
        <v/>
      </c>
      <c r="M93" s="90">
        <f>IF(OR($A93="",$D93=0),"",$E93/$D93)</f>
        <v/>
      </c>
      <c r="N93" s="90">
        <f>IF(OR($A93="",$D93=0),"",($E93+$F93)/$D93)</f>
        <v/>
      </c>
      <c r="O93" s="70">
        <f>IF($A93="","",IF(Jan!AU66="",0,IF(Jan!AU66&lt;&gt;"OK",1,0))+IF(Feb!AU66="",0,IF(Feb!AU66&lt;&gt;"OK",1,0))+IF(Mar!AU66="",0,IF(Mar!AU66&lt;&gt;"OK",1,0))+IF(Apr!AU66="",0,IF(Apr!AU66&lt;&gt;"OK",1,0))+IF(May!AU66="",0,IF(May!AU66&lt;&gt;"OK",1,0))+IF(Jun!AU66="",0,IF(Jun!AU66&lt;&gt;"OK",1,0))+IF(Jul!AU66="",0,IF(Jul!AU66&lt;&gt;"OK",1,0))+IF(Aug!AU66="",0,IF(Aug!AU66&lt;&gt;"OK",1,0))+IF(Sep!AU66="",0,IF(Sep!AU66&lt;&gt;"OK",1,0))+IF(Oct!AU66="",0,IF(Oct!AU66&lt;&gt;"OK",1,0))+IF(Nov!AU66="",0,IF(Nov!AU66&lt;&gt;"OK",1,0))+IF(Dec!AU66="",0,IF(Dec!AU66&lt;&gt;"OK",1,0)))</f>
        <v/>
      </c>
      <c r="P93" s="70">
        <f>IF($A93="","",IF(OR(Jan!AU66="CRITICAL",Feb!AU66="CRITICAL",Mar!AU66="CRITICAL",Apr!AU66="CRITICAL",May!AU66="CRITICAL",Jun!AU66="CRITICAL",Jul!AU66="CRITICAL",Aug!AU66="CRITICAL",Sep!AU66="CRITICAL",Oct!AU66="CRITICAL",Nov!AU66="CRITICAL",Dec!AU66="CRITICAL",$G93&gt;=2),"CRITICAL",IF(OR($G93&gt;0,$O93&gt;0,$N93&lt;0.95),"REVIEW","OK")))</f>
        <v/>
      </c>
    </row>
    <row r="94" ht="18" customHeight="1" s="57">
      <c r="A94" s="70">
        <f>IF('Employee Master'!A67="","",'Employee Master'!A67)</f>
        <v/>
      </c>
      <c r="B94" s="63">
        <f>IF($A94="","",'Employee Master'!B67)</f>
        <v/>
      </c>
      <c r="C94" s="70">
        <f>IF($A94="","",'Employee Master'!C67)</f>
        <v/>
      </c>
      <c r="D94" s="70">
        <f>IF($A94="","",$B$5)</f>
        <v/>
      </c>
      <c r="E94" s="70">
        <f>IF($A94="","",Jan!AI67+Feb!AI67+Mar!AI67+Apr!AI67+May!AI67+Jun!AI67+Jul!AI67+Aug!AI67+Sep!AI67+Oct!AI67+Nov!AI67+Dec!AI67)</f>
        <v/>
      </c>
      <c r="F94" s="70">
        <f>IF($A94="","",Jan!AJ67+Feb!AJ67+Mar!AJ67+Apr!AJ67+May!AJ67+Jun!AJ67+Jul!AJ67+Aug!AJ67+Sep!AJ67+Oct!AJ67+Nov!AJ67+Dec!AJ67)</f>
        <v/>
      </c>
      <c r="G94" s="70">
        <f>IF($A94="","",Jan!AK67+Feb!AK67+Mar!AK67+Apr!AK67+May!AK67+Jun!AK67+Jul!AK67+Aug!AK67+Sep!AK67+Oct!AK67+Nov!AK67+Dec!AK67)</f>
        <v/>
      </c>
      <c r="H94" s="70">
        <f>IF($A94="","",Jan!AL67+Feb!AL67+Mar!AL67+Apr!AL67+May!AL67+Jun!AL67+Jul!AL67+Aug!AL67+Sep!AL67+Oct!AL67+Nov!AL67+Dec!AL67)</f>
        <v/>
      </c>
      <c r="I94" s="70">
        <f>IF($A94="","",Jan!AM67+Feb!AM67+Mar!AM67+Apr!AM67+May!AM67+Jun!AM67+Jul!AM67+Aug!AM67+Sep!AM67+Oct!AM67+Nov!AM67+Dec!AM67)</f>
        <v/>
      </c>
      <c r="J94" s="70">
        <f>IF($A94="","",Jan!AN67+Feb!AN67+Mar!AN67+Apr!AN67+May!AN67+Jun!AN67+Jul!AN67+Aug!AN67+Sep!AN67+Oct!AN67+Nov!AN67+Dec!AN67)</f>
        <v/>
      </c>
      <c r="K94" s="70">
        <f>IF($A94="","",Jan!AO67+Feb!AO67+Mar!AO67+Apr!AO67+May!AO67+Jun!AO67+Jul!AO67+Aug!AO67+Sep!AO67+Oct!AO67+Nov!AO67+Dec!AO67)</f>
        <v/>
      </c>
      <c r="L94" s="70">
        <f>IF($A94="","",Jan!AP67+Feb!AP67+Mar!AP67+Apr!AP67+May!AP67+Jun!AP67+Jul!AP67+Aug!AP67+Sep!AP67+Oct!AP67+Nov!AP67+Dec!AP67)</f>
        <v/>
      </c>
      <c r="M94" s="90">
        <f>IF(OR($A94="",$D94=0),"",$E94/$D94)</f>
        <v/>
      </c>
      <c r="N94" s="90">
        <f>IF(OR($A94="",$D94=0),"",($E94+$F94)/$D94)</f>
        <v/>
      </c>
      <c r="O94" s="70">
        <f>IF($A94="","",IF(Jan!AU67="",0,IF(Jan!AU67&lt;&gt;"OK",1,0))+IF(Feb!AU67="",0,IF(Feb!AU67&lt;&gt;"OK",1,0))+IF(Mar!AU67="",0,IF(Mar!AU67&lt;&gt;"OK",1,0))+IF(Apr!AU67="",0,IF(Apr!AU67&lt;&gt;"OK",1,0))+IF(May!AU67="",0,IF(May!AU67&lt;&gt;"OK",1,0))+IF(Jun!AU67="",0,IF(Jun!AU67&lt;&gt;"OK",1,0))+IF(Jul!AU67="",0,IF(Jul!AU67&lt;&gt;"OK",1,0))+IF(Aug!AU67="",0,IF(Aug!AU67&lt;&gt;"OK",1,0))+IF(Sep!AU67="",0,IF(Sep!AU67&lt;&gt;"OK",1,0))+IF(Oct!AU67="",0,IF(Oct!AU67&lt;&gt;"OK",1,0))+IF(Nov!AU67="",0,IF(Nov!AU67&lt;&gt;"OK",1,0))+IF(Dec!AU67="",0,IF(Dec!AU67&lt;&gt;"OK",1,0)))</f>
        <v/>
      </c>
      <c r="P94" s="70">
        <f>IF($A94="","",IF(OR(Jan!AU67="CRITICAL",Feb!AU67="CRITICAL",Mar!AU67="CRITICAL",Apr!AU67="CRITICAL",May!AU67="CRITICAL",Jun!AU67="CRITICAL",Jul!AU67="CRITICAL",Aug!AU67="CRITICAL",Sep!AU67="CRITICAL",Oct!AU67="CRITICAL",Nov!AU67="CRITICAL",Dec!AU67="CRITICAL",$G94&gt;=2),"CRITICAL",IF(OR($G94&gt;0,$O94&gt;0,$N94&lt;0.95),"REVIEW","OK")))</f>
        <v/>
      </c>
    </row>
    <row r="95" ht="18" customHeight="1" s="57">
      <c r="A95" s="70">
        <f>IF('Employee Master'!A68="","",'Employee Master'!A68)</f>
        <v/>
      </c>
      <c r="B95" s="63">
        <f>IF($A95="","",'Employee Master'!B68)</f>
        <v/>
      </c>
      <c r="C95" s="70">
        <f>IF($A95="","",'Employee Master'!C68)</f>
        <v/>
      </c>
      <c r="D95" s="70">
        <f>IF($A95="","",$B$5)</f>
        <v/>
      </c>
      <c r="E95" s="70">
        <f>IF($A95="","",Jan!AI68+Feb!AI68+Mar!AI68+Apr!AI68+May!AI68+Jun!AI68+Jul!AI68+Aug!AI68+Sep!AI68+Oct!AI68+Nov!AI68+Dec!AI68)</f>
        <v/>
      </c>
      <c r="F95" s="70">
        <f>IF($A95="","",Jan!AJ68+Feb!AJ68+Mar!AJ68+Apr!AJ68+May!AJ68+Jun!AJ68+Jul!AJ68+Aug!AJ68+Sep!AJ68+Oct!AJ68+Nov!AJ68+Dec!AJ68)</f>
        <v/>
      </c>
      <c r="G95" s="70">
        <f>IF($A95="","",Jan!AK68+Feb!AK68+Mar!AK68+Apr!AK68+May!AK68+Jun!AK68+Jul!AK68+Aug!AK68+Sep!AK68+Oct!AK68+Nov!AK68+Dec!AK68)</f>
        <v/>
      </c>
      <c r="H95" s="70">
        <f>IF($A95="","",Jan!AL68+Feb!AL68+Mar!AL68+Apr!AL68+May!AL68+Jun!AL68+Jul!AL68+Aug!AL68+Sep!AL68+Oct!AL68+Nov!AL68+Dec!AL68)</f>
        <v/>
      </c>
      <c r="I95" s="70">
        <f>IF($A95="","",Jan!AM68+Feb!AM68+Mar!AM68+Apr!AM68+May!AM68+Jun!AM68+Jul!AM68+Aug!AM68+Sep!AM68+Oct!AM68+Nov!AM68+Dec!AM68)</f>
        <v/>
      </c>
      <c r="J95" s="70">
        <f>IF($A95="","",Jan!AN68+Feb!AN68+Mar!AN68+Apr!AN68+May!AN68+Jun!AN68+Jul!AN68+Aug!AN68+Sep!AN68+Oct!AN68+Nov!AN68+Dec!AN68)</f>
        <v/>
      </c>
      <c r="K95" s="70">
        <f>IF($A95="","",Jan!AO68+Feb!AO68+Mar!AO68+Apr!AO68+May!AO68+Jun!AO68+Jul!AO68+Aug!AO68+Sep!AO68+Oct!AO68+Nov!AO68+Dec!AO68)</f>
        <v/>
      </c>
      <c r="L95" s="70">
        <f>IF($A95="","",Jan!AP68+Feb!AP68+Mar!AP68+Apr!AP68+May!AP68+Jun!AP68+Jul!AP68+Aug!AP68+Sep!AP68+Oct!AP68+Nov!AP68+Dec!AP68)</f>
        <v/>
      </c>
      <c r="M95" s="90">
        <f>IF(OR($A95="",$D95=0),"",$E95/$D95)</f>
        <v/>
      </c>
      <c r="N95" s="90">
        <f>IF(OR($A95="",$D95=0),"",($E95+$F95)/$D95)</f>
        <v/>
      </c>
      <c r="O95" s="70">
        <f>IF($A95="","",IF(Jan!AU68="",0,IF(Jan!AU68&lt;&gt;"OK",1,0))+IF(Feb!AU68="",0,IF(Feb!AU68&lt;&gt;"OK",1,0))+IF(Mar!AU68="",0,IF(Mar!AU68&lt;&gt;"OK",1,0))+IF(Apr!AU68="",0,IF(Apr!AU68&lt;&gt;"OK",1,0))+IF(May!AU68="",0,IF(May!AU68&lt;&gt;"OK",1,0))+IF(Jun!AU68="",0,IF(Jun!AU68&lt;&gt;"OK",1,0))+IF(Jul!AU68="",0,IF(Jul!AU68&lt;&gt;"OK",1,0))+IF(Aug!AU68="",0,IF(Aug!AU68&lt;&gt;"OK",1,0))+IF(Sep!AU68="",0,IF(Sep!AU68&lt;&gt;"OK",1,0))+IF(Oct!AU68="",0,IF(Oct!AU68&lt;&gt;"OK",1,0))+IF(Nov!AU68="",0,IF(Nov!AU68&lt;&gt;"OK",1,0))+IF(Dec!AU68="",0,IF(Dec!AU68&lt;&gt;"OK",1,0)))</f>
        <v/>
      </c>
      <c r="P95" s="70">
        <f>IF($A95="","",IF(OR(Jan!AU68="CRITICAL",Feb!AU68="CRITICAL",Mar!AU68="CRITICAL",Apr!AU68="CRITICAL",May!AU68="CRITICAL",Jun!AU68="CRITICAL",Jul!AU68="CRITICAL",Aug!AU68="CRITICAL",Sep!AU68="CRITICAL",Oct!AU68="CRITICAL",Nov!AU68="CRITICAL",Dec!AU68="CRITICAL",$G95&gt;=2),"CRITICAL",IF(OR($G95&gt;0,$O95&gt;0,$N95&lt;0.95),"REVIEW","OK")))</f>
        <v/>
      </c>
    </row>
    <row r="96" ht="18" customHeight="1" s="57">
      <c r="A96" s="70">
        <f>IF('Employee Master'!A69="","",'Employee Master'!A69)</f>
        <v/>
      </c>
      <c r="B96" s="63">
        <f>IF($A96="","",'Employee Master'!B69)</f>
        <v/>
      </c>
      <c r="C96" s="70">
        <f>IF($A96="","",'Employee Master'!C69)</f>
        <v/>
      </c>
      <c r="D96" s="70">
        <f>IF($A96="","",$B$5)</f>
        <v/>
      </c>
      <c r="E96" s="70">
        <f>IF($A96="","",Jan!AI69+Feb!AI69+Mar!AI69+Apr!AI69+May!AI69+Jun!AI69+Jul!AI69+Aug!AI69+Sep!AI69+Oct!AI69+Nov!AI69+Dec!AI69)</f>
        <v/>
      </c>
      <c r="F96" s="70">
        <f>IF($A96="","",Jan!AJ69+Feb!AJ69+Mar!AJ69+Apr!AJ69+May!AJ69+Jun!AJ69+Jul!AJ69+Aug!AJ69+Sep!AJ69+Oct!AJ69+Nov!AJ69+Dec!AJ69)</f>
        <v/>
      </c>
      <c r="G96" s="70">
        <f>IF($A96="","",Jan!AK69+Feb!AK69+Mar!AK69+Apr!AK69+May!AK69+Jun!AK69+Jul!AK69+Aug!AK69+Sep!AK69+Oct!AK69+Nov!AK69+Dec!AK69)</f>
        <v/>
      </c>
      <c r="H96" s="70">
        <f>IF($A96="","",Jan!AL69+Feb!AL69+Mar!AL69+Apr!AL69+May!AL69+Jun!AL69+Jul!AL69+Aug!AL69+Sep!AL69+Oct!AL69+Nov!AL69+Dec!AL69)</f>
        <v/>
      </c>
      <c r="I96" s="70">
        <f>IF($A96="","",Jan!AM69+Feb!AM69+Mar!AM69+Apr!AM69+May!AM69+Jun!AM69+Jul!AM69+Aug!AM69+Sep!AM69+Oct!AM69+Nov!AM69+Dec!AM69)</f>
        <v/>
      </c>
      <c r="J96" s="70">
        <f>IF($A96="","",Jan!AN69+Feb!AN69+Mar!AN69+Apr!AN69+May!AN69+Jun!AN69+Jul!AN69+Aug!AN69+Sep!AN69+Oct!AN69+Nov!AN69+Dec!AN69)</f>
        <v/>
      </c>
      <c r="K96" s="70">
        <f>IF($A96="","",Jan!AO69+Feb!AO69+Mar!AO69+Apr!AO69+May!AO69+Jun!AO69+Jul!AO69+Aug!AO69+Sep!AO69+Oct!AO69+Nov!AO69+Dec!AO69)</f>
        <v/>
      </c>
      <c r="L96" s="70">
        <f>IF($A96="","",Jan!AP69+Feb!AP69+Mar!AP69+Apr!AP69+May!AP69+Jun!AP69+Jul!AP69+Aug!AP69+Sep!AP69+Oct!AP69+Nov!AP69+Dec!AP69)</f>
        <v/>
      </c>
      <c r="M96" s="90">
        <f>IF(OR($A96="",$D96=0),"",$E96/$D96)</f>
        <v/>
      </c>
      <c r="N96" s="90">
        <f>IF(OR($A96="",$D96=0),"",($E96+$F96)/$D96)</f>
        <v/>
      </c>
      <c r="O96" s="70">
        <f>IF($A96="","",IF(Jan!AU69="",0,IF(Jan!AU69&lt;&gt;"OK",1,0))+IF(Feb!AU69="",0,IF(Feb!AU69&lt;&gt;"OK",1,0))+IF(Mar!AU69="",0,IF(Mar!AU69&lt;&gt;"OK",1,0))+IF(Apr!AU69="",0,IF(Apr!AU69&lt;&gt;"OK",1,0))+IF(May!AU69="",0,IF(May!AU69&lt;&gt;"OK",1,0))+IF(Jun!AU69="",0,IF(Jun!AU69&lt;&gt;"OK",1,0))+IF(Jul!AU69="",0,IF(Jul!AU69&lt;&gt;"OK",1,0))+IF(Aug!AU69="",0,IF(Aug!AU69&lt;&gt;"OK",1,0))+IF(Sep!AU69="",0,IF(Sep!AU69&lt;&gt;"OK",1,0))+IF(Oct!AU69="",0,IF(Oct!AU69&lt;&gt;"OK",1,0))+IF(Nov!AU69="",0,IF(Nov!AU69&lt;&gt;"OK",1,0))+IF(Dec!AU69="",0,IF(Dec!AU69&lt;&gt;"OK",1,0)))</f>
        <v/>
      </c>
      <c r="P96" s="70">
        <f>IF($A96="","",IF(OR(Jan!AU69="CRITICAL",Feb!AU69="CRITICAL",Mar!AU69="CRITICAL",Apr!AU69="CRITICAL",May!AU69="CRITICAL",Jun!AU69="CRITICAL",Jul!AU69="CRITICAL",Aug!AU69="CRITICAL",Sep!AU69="CRITICAL",Oct!AU69="CRITICAL",Nov!AU69="CRITICAL",Dec!AU69="CRITICAL",$G96&gt;=2),"CRITICAL",IF(OR($G96&gt;0,$O96&gt;0,$N96&lt;0.95),"REVIEW","OK")))</f>
        <v/>
      </c>
    </row>
    <row r="97" ht="18" customHeight="1" s="57">
      <c r="A97" s="70">
        <f>IF('Employee Master'!A70="","",'Employee Master'!A70)</f>
        <v/>
      </c>
      <c r="B97" s="63">
        <f>IF($A97="","",'Employee Master'!B70)</f>
        <v/>
      </c>
      <c r="C97" s="70">
        <f>IF($A97="","",'Employee Master'!C70)</f>
        <v/>
      </c>
      <c r="D97" s="70">
        <f>IF($A97="","",$B$5)</f>
        <v/>
      </c>
      <c r="E97" s="70">
        <f>IF($A97="","",Jan!AI70+Feb!AI70+Mar!AI70+Apr!AI70+May!AI70+Jun!AI70+Jul!AI70+Aug!AI70+Sep!AI70+Oct!AI70+Nov!AI70+Dec!AI70)</f>
        <v/>
      </c>
      <c r="F97" s="70">
        <f>IF($A97="","",Jan!AJ70+Feb!AJ70+Mar!AJ70+Apr!AJ70+May!AJ70+Jun!AJ70+Jul!AJ70+Aug!AJ70+Sep!AJ70+Oct!AJ70+Nov!AJ70+Dec!AJ70)</f>
        <v/>
      </c>
      <c r="G97" s="70">
        <f>IF($A97="","",Jan!AK70+Feb!AK70+Mar!AK70+Apr!AK70+May!AK70+Jun!AK70+Jul!AK70+Aug!AK70+Sep!AK70+Oct!AK70+Nov!AK70+Dec!AK70)</f>
        <v/>
      </c>
      <c r="H97" s="70">
        <f>IF($A97="","",Jan!AL70+Feb!AL70+Mar!AL70+Apr!AL70+May!AL70+Jun!AL70+Jul!AL70+Aug!AL70+Sep!AL70+Oct!AL70+Nov!AL70+Dec!AL70)</f>
        <v/>
      </c>
      <c r="I97" s="70">
        <f>IF($A97="","",Jan!AM70+Feb!AM70+Mar!AM70+Apr!AM70+May!AM70+Jun!AM70+Jul!AM70+Aug!AM70+Sep!AM70+Oct!AM70+Nov!AM70+Dec!AM70)</f>
        <v/>
      </c>
      <c r="J97" s="70">
        <f>IF($A97="","",Jan!AN70+Feb!AN70+Mar!AN70+Apr!AN70+May!AN70+Jun!AN70+Jul!AN70+Aug!AN70+Sep!AN70+Oct!AN70+Nov!AN70+Dec!AN70)</f>
        <v/>
      </c>
      <c r="K97" s="70">
        <f>IF($A97="","",Jan!AO70+Feb!AO70+Mar!AO70+Apr!AO70+May!AO70+Jun!AO70+Jul!AO70+Aug!AO70+Sep!AO70+Oct!AO70+Nov!AO70+Dec!AO70)</f>
        <v/>
      </c>
      <c r="L97" s="70">
        <f>IF($A97="","",Jan!AP70+Feb!AP70+Mar!AP70+Apr!AP70+May!AP70+Jun!AP70+Jul!AP70+Aug!AP70+Sep!AP70+Oct!AP70+Nov!AP70+Dec!AP70)</f>
        <v/>
      </c>
      <c r="M97" s="90">
        <f>IF(OR($A97="",$D97=0),"",$E97/$D97)</f>
        <v/>
      </c>
      <c r="N97" s="90">
        <f>IF(OR($A97="",$D97=0),"",($E97+$F97)/$D97)</f>
        <v/>
      </c>
      <c r="O97" s="70">
        <f>IF($A97="","",IF(Jan!AU70="",0,IF(Jan!AU70&lt;&gt;"OK",1,0))+IF(Feb!AU70="",0,IF(Feb!AU70&lt;&gt;"OK",1,0))+IF(Mar!AU70="",0,IF(Mar!AU70&lt;&gt;"OK",1,0))+IF(Apr!AU70="",0,IF(Apr!AU70&lt;&gt;"OK",1,0))+IF(May!AU70="",0,IF(May!AU70&lt;&gt;"OK",1,0))+IF(Jun!AU70="",0,IF(Jun!AU70&lt;&gt;"OK",1,0))+IF(Jul!AU70="",0,IF(Jul!AU70&lt;&gt;"OK",1,0))+IF(Aug!AU70="",0,IF(Aug!AU70&lt;&gt;"OK",1,0))+IF(Sep!AU70="",0,IF(Sep!AU70&lt;&gt;"OK",1,0))+IF(Oct!AU70="",0,IF(Oct!AU70&lt;&gt;"OK",1,0))+IF(Nov!AU70="",0,IF(Nov!AU70&lt;&gt;"OK",1,0))+IF(Dec!AU70="",0,IF(Dec!AU70&lt;&gt;"OK",1,0)))</f>
        <v/>
      </c>
      <c r="P97" s="70">
        <f>IF($A97="","",IF(OR(Jan!AU70="CRITICAL",Feb!AU70="CRITICAL",Mar!AU70="CRITICAL",Apr!AU70="CRITICAL",May!AU70="CRITICAL",Jun!AU70="CRITICAL",Jul!AU70="CRITICAL",Aug!AU70="CRITICAL",Sep!AU70="CRITICAL",Oct!AU70="CRITICAL",Nov!AU70="CRITICAL",Dec!AU70="CRITICAL",$G97&gt;=2),"CRITICAL",IF(OR($G97&gt;0,$O97&gt;0,$N97&lt;0.95),"REVIEW","OK")))</f>
        <v/>
      </c>
    </row>
    <row r="98" ht="18" customHeight="1" s="57">
      <c r="A98" s="70">
        <f>IF('Employee Master'!A71="","",'Employee Master'!A71)</f>
        <v/>
      </c>
      <c r="B98" s="63">
        <f>IF($A98="","",'Employee Master'!B71)</f>
        <v/>
      </c>
      <c r="C98" s="70">
        <f>IF($A98="","",'Employee Master'!C71)</f>
        <v/>
      </c>
      <c r="D98" s="70">
        <f>IF($A98="","",$B$5)</f>
        <v/>
      </c>
      <c r="E98" s="70">
        <f>IF($A98="","",Jan!AI71+Feb!AI71+Mar!AI71+Apr!AI71+May!AI71+Jun!AI71+Jul!AI71+Aug!AI71+Sep!AI71+Oct!AI71+Nov!AI71+Dec!AI71)</f>
        <v/>
      </c>
      <c r="F98" s="70">
        <f>IF($A98="","",Jan!AJ71+Feb!AJ71+Mar!AJ71+Apr!AJ71+May!AJ71+Jun!AJ71+Jul!AJ71+Aug!AJ71+Sep!AJ71+Oct!AJ71+Nov!AJ71+Dec!AJ71)</f>
        <v/>
      </c>
      <c r="G98" s="70">
        <f>IF($A98="","",Jan!AK71+Feb!AK71+Mar!AK71+Apr!AK71+May!AK71+Jun!AK71+Jul!AK71+Aug!AK71+Sep!AK71+Oct!AK71+Nov!AK71+Dec!AK71)</f>
        <v/>
      </c>
      <c r="H98" s="70">
        <f>IF($A98="","",Jan!AL71+Feb!AL71+Mar!AL71+Apr!AL71+May!AL71+Jun!AL71+Jul!AL71+Aug!AL71+Sep!AL71+Oct!AL71+Nov!AL71+Dec!AL71)</f>
        <v/>
      </c>
      <c r="I98" s="70">
        <f>IF($A98="","",Jan!AM71+Feb!AM71+Mar!AM71+Apr!AM71+May!AM71+Jun!AM71+Jul!AM71+Aug!AM71+Sep!AM71+Oct!AM71+Nov!AM71+Dec!AM71)</f>
        <v/>
      </c>
      <c r="J98" s="70">
        <f>IF($A98="","",Jan!AN71+Feb!AN71+Mar!AN71+Apr!AN71+May!AN71+Jun!AN71+Jul!AN71+Aug!AN71+Sep!AN71+Oct!AN71+Nov!AN71+Dec!AN71)</f>
        <v/>
      </c>
      <c r="K98" s="70">
        <f>IF($A98="","",Jan!AO71+Feb!AO71+Mar!AO71+Apr!AO71+May!AO71+Jun!AO71+Jul!AO71+Aug!AO71+Sep!AO71+Oct!AO71+Nov!AO71+Dec!AO71)</f>
        <v/>
      </c>
      <c r="L98" s="70">
        <f>IF($A98="","",Jan!AP71+Feb!AP71+Mar!AP71+Apr!AP71+May!AP71+Jun!AP71+Jul!AP71+Aug!AP71+Sep!AP71+Oct!AP71+Nov!AP71+Dec!AP71)</f>
        <v/>
      </c>
      <c r="M98" s="90">
        <f>IF(OR($A98="",$D98=0),"",$E98/$D98)</f>
        <v/>
      </c>
      <c r="N98" s="90">
        <f>IF(OR($A98="",$D98=0),"",($E98+$F98)/$D98)</f>
        <v/>
      </c>
      <c r="O98" s="70">
        <f>IF($A98="","",IF(Jan!AU71="",0,IF(Jan!AU71&lt;&gt;"OK",1,0))+IF(Feb!AU71="",0,IF(Feb!AU71&lt;&gt;"OK",1,0))+IF(Mar!AU71="",0,IF(Mar!AU71&lt;&gt;"OK",1,0))+IF(Apr!AU71="",0,IF(Apr!AU71&lt;&gt;"OK",1,0))+IF(May!AU71="",0,IF(May!AU71&lt;&gt;"OK",1,0))+IF(Jun!AU71="",0,IF(Jun!AU71&lt;&gt;"OK",1,0))+IF(Jul!AU71="",0,IF(Jul!AU71&lt;&gt;"OK",1,0))+IF(Aug!AU71="",0,IF(Aug!AU71&lt;&gt;"OK",1,0))+IF(Sep!AU71="",0,IF(Sep!AU71&lt;&gt;"OK",1,0))+IF(Oct!AU71="",0,IF(Oct!AU71&lt;&gt;"OK",1,0))+IF(Nov!AU71="",0,IF(Nov!AU71&lt;&gt;"OK",1,0))+IF(Dec!AU71="",0,IF(Dec!AU71&lt;&gt;"OK",1,0)))</f>
        <v/>
      </c>
      <c r="P98" s="70">
        <f>IF($A98="","",IF(OR(Jan!AU71="CRITICAL",Feb!AU71="CRITICAL",Mar!AU71="CRITICAL",Apr!AU71="CRITICAL",May!AU71="CRITICAL",Jun!AU71="CRITICAL",Jul!AU71="CRITICAL",Aug!AU71="CRITICAL",Sep!AU71="CRITICAL",Oct!AU71="CRITICAL",Nov!AU71="CRITICAL",Dec!AU71="CRITICAL",$G98&gt;=2),"CRITICAL",IF(OR($G98&gt;0,$O98&gt;0,$N98&lt;0.95),"REVIEW","OK")))</f>
        <v/>
      </c>
    </row>
    <row r="99" ht="18" customHeight="1" s="57">
      <c r="A99" s="70">
        <f>IF('Employee Master'!A72="","",'Employee Master'!A72)</f>
        <v/>
      </c>
      <c r="B99" s="63">
        <f>IF($A99="","",'Employee Master'!B72)</f>
        <v/>
      </c>
      <c r="C99" s="70">
        <f>IF($A99="","",'Employee Master'!C72)</f>
        <v/>
      </c>
      <c r="D99" s="70">
        <f>IF($A99="","",$B$5)</f>
        <v/>
      </c>
      <c r="E99" s="70">
        <f>IF($A99="","",Jan!AI72+Feb!AI72+Mar!AI72+Apr!AI72+May!AI72+Jun!AI72+Jul!AI72+Aug!AI72+Sep!AI72+Oct!AI72+Nov!AI72+Dec!AI72)</f>
        <v/>
      </c>
      <c r="F99" s="70">
        <f>IF($A99="","",Jan!AJ72+Feb!AJ72+Mar!AJ72+Apr!AJ72+May!AJ72+Jun!AJ72+Jul!AJ72+Aug!AJ72+Sep!AJ72+Oct!AJ72+Nov!AJ72+Dec!AJ72)</f>
        <v/>
      </c>
      <c r="G99" s="70">
        <f>IF($A99="","",Jan!AK72+Feb!AK72+Mar!AK72+Apr!AK72+May!AK72+Jun!AK72+Jul!AK72+Aug!AK72+Sep!AK72+Oct!AK72+Nov!AK72+Dec!AK72)</f>
        <v/>
      </c>
      <c r="H99" s="70">
        <f>IF($A99="","",Jan!AL72+Feb!AL72+Mar!AL72+Apr!AL72+May!AL72+Jun!AL72+Jul!AL72+Aug!AL72+Sep!AL72+Oct!AL72+Nov!AL72+Dec!AL72)</f>
        <v/>
      </c>
      <c r="I99" s="70">
        <f>IF($A99="","",Jan!AM72+Feb!AM72+Mar!AM72+Apr!AM72+May!AM72+Jun!AM72+Jul!AM72+Aug!AM72+Sep!AM72+Oct!AM72+Nov!AM72+Dec!AM72)</f>
        <v/>
      </c>
      <c r="J99" s="70">
        <f>IF($A99="","",Jan!AN72+Feb!AN72+Mar!AN72+Apr!AN72+May!AN72+Jun!AN72+Jul!AN72+Aug!AN72+Sep!AN72+Oct!AN72+Nov!AN72+Dec!AN72)</f>
        <v/>
      </c>
      <c r="K99" s="70">
        <f>IF($A99="","",Jan!AO72+Feb!AO72+Mar!AO72+Apr!AO72+May!AO72+Jun!AO72+Jul!AO72+Aug!AO72+Sep!AO72+Oct!AO72+Nov!AO72+Dec!AO72)</f>
        <v/>
      </c>
      <c r="L99" s="70">
        <f>IF($A99="","",Jan!AP72+Feb!AP72+Mar!AP72+Apr!AP72+May!AP72+Jun!AP72+Jul!AP72+Aug!AP72+Sep!AP72+Oct!AP72+Nov!AP72+Dec!AP72)</f>
        <v/>
      </c>
      <c r="M99" s="90">
        <f>IF(OR($A99="",$D99=0),"",$E99/$D99)</f>
        <v/>
      </c>
      <c r="N99" s="90">
        <f>IF(OR($A99="",$D99=0),"",($E99+$F99)/$D99)</f>
        <v/>
      </c>
      <c r="O99" s="70">
        <f>IF($A99="","",IF(Jan!AU72="",0,IF(Jan!AU72&lt;&gt;"OK",1,0))+IF(Feb!AU72="",0,IF(Feb!AU72&lt;&gt;"OK",1,0))+IF(Mar!AU72="",0,IF(Mar!AU72&lt;&gt;"OK",1,0))+IF(Apr!AU72="",0,IF(Apr!AU72&lt;&gt;"OK",1,0))+IF(May!AU72="",0,IF(May!AU72&lt;&gt;"OK",1,0))+IF(Jun!AU72="",0,IF(Jun!AU72&lt;&gt;"OK",1,0))+IF(Jul!AU72="",0,IF(Jul!AU72&lt;&gt;"OK",1,0))+IF(Aug!AU72="",0,IF(Aug!AU72&lt;&gt;"OK",1,0))+IF(Sep!AU72="",0,IF(Sep!AU72&lt;&gt;"OK",1,0))+IF(Oct!AU72="",0,IF(Oct!AU72&lt;&gt;"OK",1,0))+IF(Nov!AU72="",0,IF(Nov!AU72&lt;&gt;"OK",1,0))+IF(Dec!AU72="",0,IF(Dec!AU72&lt;&gt;"OK",1,0)))</f>
        <v/>
      </c>
      <c r="P99" s="70">
        <f>IF($A99="","",IF(OR(Jan!AU72="CRITICAL",Feb!AU72="CRITICAL",Mar!AU72="CRITICAL",Apr!AU72="CRITICAL",May!AU72="CRITICAL",Jun!AU72="CRITICAL",Jul!AU72="CRITICAL",Aug!AU72="CRITICAL",Sep!AU72="CRITICAL",Oct!AU72="CRITICAL",Nov!AU72="CRITICAL",Dec!AU72="CRITICAL",$G99&gt;=2),"CRITICAL",IF(OR($G99&gt;0,$O99&gt;0,$N99&lt;0.95),"REVIEW","OK")))</f>
        <v/>
      </c>
    </row>
    <row r="100" ht="18" customHeight="1" s="57">
      <c r="A100" s="70">
        <f>IF('Employee Master'!A73="","",'Employee Master'!A73)</f>
        <v/>
      </c>
      <c r="B100" s="63">
        <f>IF($A100="","",'Employee Master'!B73)</f>
        <v/>
      </c>
      <c r="C100" s="70">
        <f>IF($A100="","",'Employee Master'!C73)</f>
        <v/>
      </c>
      <c r="D100" s="70">
        <f>IF($A100="","",$B$5)</f>
        <v/>
      </c>
      <c r="E100" s="70">
        <f>IF($A100="","",Jan!AI73+Feb!AI73+Mar!AI73+Apr!AI73+May!AI73+Jun!AI73+Jul!AI73+Aug!AI73+Sep!AI73+Oct!AI73+Nov!AI73+Dec!AI73)</f>
        <v/>
      </c>
      <c r="F100" s="70">
        <f>IF($A100="","",Jan!AJ73+Feb!AJ73+Mar!AJ73+Apr!AJ73+May!AJ73+Jun!AJ73+Jul!AJ73+Aug!AJ73+Sep!AJ73+Oct!AJ73+Nov!AJ73+Dec!AJ73)</f>
        <v/>
      </c>
      <c r="G100" s="70">
        <f>IF($A100="","",Jan!AK73+Feb!AK73+Mar!AK73+Apr!AK73+May!AK73+Jun!AK73+Jul!AK73+Aug!AK73+Sep!AK73+Oct!AK73+Nov!AK73+Dec!AK73)</f>
        <v/>
      </c>
      <c r="H100" s="70">
        <f>IF($A100="","",Jan!AL73+Feb!AL73+Mar!AL73+Apr!AL73+May!AL73+Jun!AL73+Jul!AL73+Aug!AL73+Sep!AL73+Oct!AL73+Nov!AL73+Dec!AL73)</f>
        <v/>
      </c>
      <c r="I100" s="70">
        <f>IF($A100="","",Jan!AM73+Feb!AM73+Mar!AM73+Apr!AM73+May!AM73+Jun!AM73+Jul!AM73+Aug!AM73+Sep!AM73+Oct!AM73+Nov!AM73+Dec!AM73)</f>
        <v/>
      </c>
      <c r="J100" s="70">
        <f>IF($A100="","",Jan!AN73+Feb!AN73+Mar!AN73+Apr!AN73+May!AN73+Jun!AN73+Jul!AN73+Aug!AN73+Sep!AN73+Oct!AN73+Nov!AN73+Dec!AN73)</f>
        <v/>
      </c>
      <c r="K100" s="70">
        <f>IF($A100="","",Jan!AO73+Feb!AO73+Mar!AO73+Apr!AO73+May!AO73+Jun!AO73+Jul!AO73+Aug!AO73+Sep!AO73+Oct!AO73+Nov!AO73+Dec!AO73)</f>
        <v/>
      </c>
      <c r="L100" s="70">
        <f>IF($A100="","",Jan!AP73+Feb!AP73+Mar!AP73+Apr!AP73+May!AP73+Jun!AP73+Jul!AP73+Aug!AP73+Sep!AP73+Oct!AP73+Nov!AP73+Dec!AP73)</f>
        <v/>
      </c>
      <c r="M100" s="90">
        <f>IF(OR($A100="",$D100=0),"",$E100/$D100)</f>
        <v/>
      </c>
      <c r="N100" s="90">
        <f>IF(OR($A100="",$D100=0),"",($E100+$F100)/$D100)</f>
        <v/>
      </c>
      <c r="O100" s="70">
        <f>IF($A100="","",IF(Jan!AU73="",0,IF(Jan!AU73&lt;&gt;"OK",1,0))+IF(Feb!AU73="",0,IF(Feb!AU73&lt;&gt;"OK",1,0))+IF(Mar!AU73="",0,IF(Mar!AU73&lt;&gt;"OK",1,0))+IF(Apr!AU73="",0,IF(Apr!AU73&lt;&gt;"OK",1,0))+IF(May!AU73="",0,IF(May!AU73&lt;&gt;"OK",1,0))+IF(Jun!AU73="",0,IF(Jun!AU73&lt;&gt;"OK",1,0))+IF(Jul!AU73="",0,IF(Jul!AU73&lt;&gt;"OK",1,0))+IF(Aug!AU73="",0,IF(Aug!AU73&lt;&gt;"OK",1,0))+IF(Sep!AU73="",0,IF(Sep!AU73&lt;&gt;"OK",1,0))+IF(Oct!AU73="",0,IF(Oct!AU73&lt;&gt;"OK",1,0))+IF(Nov!AU73="",0,IF(Nov!AU73&lt;&gt;"OK",1,0))+IF(Dec!AU73="",0,IF(Dec!AU73&lt;&gt;"OK",1,0)))</f>
        <v/>
      </c>
      <c r="P100" s="70">
        <f>IF($A100="","",IF(OR(Jan!AU73="CRITICAL",Feb!AU73="CRITICAL",Mar!AU73="CRITICAL",Apr!AU73="CRITICAL",May!AU73="CRITICAL",Jun!AU73="CRITICAL",Jul!AU73="CRITICAL",Aug!AU73="CRITICAL",Sep!AU73="CRITICAL",Oct!AU73="CRITICAL",Nov!AU73="CRITICAL",Dec!AU73="CRITICAL",$G100&gt;=2),"CRITICAL",IF(OR($G100&gt;0,$O100&gt;0,$N100&lt;0.95),"REVIEW","OK")))</f>
        <v/>
      </c>
    </row>
    <row r="101" ht="18" customHeight="1" s="57">
      <c r="A101" s="70">
        <f>IF('Employee Master'!A74="","",'Employee Master'!A74)</f>
        <v/>
      </c>
      <c r="B101" s="63">
        <f>IF($A101="","",'Employee Master'!B74)</f>
        <v/>
      </c>
      <c r="C101" s="70">
        <f>IF($A101="","",'Employee Master'!C74)</f>
        <v/>
      </c>
      <c r="D101" s="70">
        <f>IF($A101="","",$B$5)</f>
        <v/>
      </c>
      <c r="E101" s="70">
        <f>IF($A101="","",Jan!AI74+Feb!AI74+Mar!AI74+Apr!AI74+May!AI74+Jun!AI74+Jul!AI74+Aug!AI74+Sep!AI74+Oct!AI74+Nov!AI74+Dec!AI74)</f>
        <v/>
      </c>
      <c r="F101" s="70">
        <f>IF($A101="","",Jan!AJ74+Feb!AJ74+Mar!AJ74+Apr!AJ74+May!AJ74+Jun!AJ74+Jul!AJ74+Aug!AJ74+Sep!AJ74+Oct!AJ74+Nov!AJ74+Dec!AJ74)</f>
        <v/>
      </c>
      <c r="G101" s="70">
        <f>IF($A101="","",Jan!AK74+Feb!AK74+Mar!AK74+Apr!AK74+May!AK74+Jun!AK74+Jul!AK74+Aug!AK74+Sep!AK74+Oct!AK74+Nov!AK74+Dec!AK74)</f>
        <v/>
      </c>
      <c r="H101" s="70">
        <f>IF($A101="","",Jan!AL74+Feb!AL74+Mar!AL74+Apr!AL74+May!AL74+Jun!AL74+Jul!AL74+Aug!AL74+Sep!AL74+Oct!AL74+Nov!AL74+Dec!AL74)</f>
        <v/>
      </c>
      <c r="I101" s="70">
        <f>IF($A101="","",Jan!AM74+Feb!AM74+Mar!AM74+Apr!AM74+May!AM74+Jun!AM74+Jul!AM74+Aug!AM74+Sep!AM74+Oct!AM74+Nov!AM74+Dec!AM74)</f>
        <v/>
      </c>
      <c r="J101" s="70">
        <f>IF($A101="","",Jan!AN74+Feb!AN74+Mar!AN74+Apr!AN74+May!AN74+Jun!AN74+Jul!AN74+Aug!AN74+Sep!AN74+Oct!AN74+Nov!AN74+Dec!AN74)</f>
        <v/>
      </c>
      <c r="K101" s="70">
        <f>IF($A101="","",Jan!AO74+Feb!AO74+Mar!AO74+Apr!AO74+May!AO74+Jun!AO74+Jul!AO74+Aug!AO74+Sep!AO74+Oct!AO74+Nov!AO74+Dec!AO74)</f>
        <v/>
      </c>
      <c r="L101" s="70">
        <f>IF($A101="","",Jan!AP74+Feb!AP74+Mar!AP74+Apr!AP74+May!AP74+Jun!AP74+Jul!AP74+Aug!AP74+Sep!AP74+Oct!AP74+Nov!AP74+Dec!AP74)</f>
        <v/>
      </c>
      <c r="M101" s="90">
        <f>IF(OR($A101="",$D101=0),"",$E101/$D101)</f>
        <v/>
      </c>
      <c r="N101" s="90">
        <f>IF(OR($A101="",$D101=0),"",($E101+$F101)/$D101)</f>
        <v/>
      </c>
      <c r="O101" s="70">
        <f>IF($A101="","",IF(Jan!AU74="",0,IF(Jan!AU74&lt;&gt;"OK",1,0))+IF(Feb!AU74="",0,IF(Feb!AU74&lt;&gt;"OK",1,0))+IF(Mar!AU74="",0,IF(Mar!AU74&lt;&gt;"OK",1,0))+IF(Apr!AU74="",0,IF(Apr!AU74&lt;&gt;"OK",1,0))+IF(May!AU74="",0,IF(May!AU74&lt;&gt;"OK",1,0))+IF(Jun!AU74="",0,IF(Jun!AU74&lt;&gt;"OK",1,0))+IF(Jul!AU74="",0,IF(Jul!AU74&lt;&gt;"OK",1,0))+IF(Aug!AU74="",0,IF(Aug!AU74&lt;&gt;"OK",1,0))+IF(Sep!AU74="",0,IF(Sep!AU74&lt;&gt;"OK",1,0))+IF(Oct!AU74="",0,IF(Oct!AU74&lt;&gt;"OK",1,0))+IF(Nov!AU74="",0,IF(Nov!AU74&lt;&gt;"OK",1,0))+IF(Dec!AU74="",0,IF(Dec!AU74&lt;&gt;"OK",1,0)))</f>
        <v/>
      </c>
      <c r="P101" s="70">
        <f>IF($A101="","",IF(OR(Jan!AU74="CRITICAL",Feb!AU74="CRITICAL",Mar!AU74="CRITICAL",Apr!AU74="CRITICAL",May!AU74="CRITICAL",Jun!AU74="CRITICAL",Jul!AU74="CRITICAL",Aug!AU74="CRITICAL",Sep!AU74="CRITICAL",Oct!AU74="CRITICAL",Nov!AU74="CRITICAL",Dec!AU74="CRITICAL",$G101&gt;=2),"CRITICAL",IF(OR($G101&gt;0,$O101&gt;0,$N101&lt;0.95),"REVIEW","OK")))</f>
        <v/>
      </c>
    </row>
    <row r="102" ht="18" customHeight="1" s="57">
      <c r="A102" s="70">
        <f>IF('Employee Master'!A75="","",'Employee Master'!A75)</f>
        <v/>
      </c>
      <c r="B102" s="63">
        <f>IF($A102="","",'Employee Master'!B75)</f>
        <v/>
      </c>
      <c r="C102" s="70">
        <f>IF($A102="","",'Employee Master'!C75)</f>
        <v/>
      </c>
      <c r="D102" s="70">
        <f>IF($A102="","",$B$5)</f>
        <v/>
      </c>
      <c r="E102" s="70">
        <f>IF($A102="","",Jan!AI75+Feb!AI75+Mar!AI75+Apr!AI75+May!AI75+Jun!AI75+Jul!AI75+Aug!AI75+Sep!AI75+Oct!AI75+Nov!AI75+Dec!AI75)</f>
        <v/>
      </c>
      <c r="F102" s="70">
        <f>IF($A102="","",Jan!AJ75+Feb!AJ75+Mar!AJ75+Apr!AJ75+May!AJ75+Jun!AJ75+Jul!AJ75+Aug!AJ75+Sep!AJ75+Oct!AJ75+Nov!AJ75+Dec!AJ75)</f>
        <v/>
      </c>
      <c r="G102" s="70">
        <f>IF($A102="","",Jan!AK75+Feb!AK75+Mar!AK75+Apr!AK75+May!AK75+Jun!AK75+Jul!AK75+Aug!AK75+Sep!AK75+Oct!AK75+Nov!AK75+Dec!AK75)</f>
        <v/>
      </c>
      <c r="H102" s="70">
        <f>IF($A102="","",Jan!AL75+Feb!AL75+Mar!AL75+Apr!AL75+May!AL75+Jun!AL75+Jul!AL75+Aug!AL75+Sep!AL75+Oct!AL75+Nov!AL75+Dec!AL75)</f>
        <v/>
      </c>
      <c r="I102" s="70">
        <f>IF($A102="","",Jan!AM75+Feb!AM75+Mar!AM75+Apr!AM75+May!AM75+Jun!AM75+Jul!AM75+Aug!AM75+Sep!AM75+Oct!AM75+Nov!AM75+Dec!AM75)</f>
        <v/>
      </c>
      <c r="J102" s="70">
        <f>IF($A102="","",Jan!AN75+Feb!AN75+Mar!AN75+Apr!AN75+May!AN75+Jun!AN75+Jul!AN75+Aug!AN75+Sep!AN75+Oct!AN75+Nov!AN75+Dec!AN75)</f>
        <v/>
      </c>
      <c r="K102" s="70">
        <f>IF($A102="","",Jan!AO75+Feb!AO75+Mar!AO75+Apr!AO75+May!AO75+Jun!AO75+Jul!AO75+Aug!AO75+Sep!AO75+Oct!AO75+Nov!AO75+Dec!AO75)</f>
        <v/>
      </c>
      <c r="L102" s="70">
        <f>IF($A102="","",Jan!AP75+Feb!AP75+Mar!AP75+Apr!AP75+May!AP75+Jun!AP75+Jul!AP75+Aug!AP75+Sep!AP75+Oct!AP75+Nov!AP75+Dec!AP75)</f>
        <v/>
      </c>
      <c r="M102" s="90">
        <f>IF(OR($A102="",$D102=0),"",$E102/$D102)</f>
        <v/>
      </c>
      <c r="N102" s="90">
        <f>IF(OR($A102="",$D102=0),"",($E102+$F102)/$D102)</f>
        <v/>
      </c>
      <c r="O102" s="70">
        <f>IF($A102="","",IF(Jan!AU75="",0,IF(Jan!AU75&lt;&gt;"OK",1,0))+IF(Feb!AU75="",0,IF(Feb!AU75&lt;&gt;"OK",1,0))+IF(Mar!AU75="",0,IF(Mar!AU75&lt;&gt;"OK",1,0))+IF(Apr!AU75="",0,IF(Apr!AU75&lt;&gt;"OK",1,0))+IF(May!AU75="",0,IF(May!AU75&lt;&gt;"OK",1,0))+IF(Jun!AU75="",0,IF(Jun!AU75&lt;&gt;"OK",1,0))+IF(Jul!AU75="",0,IF(Jul!AU75&lt;&gt;"OK",1,0))+IF(Aug!AU75="",0,IF(Aug!AU75&lt;&gt;"OK",1,0))+IF(Sep!AU75="",0,IF(Sep!AU75&lt;&gt;"OK",1,0))+IF(Oct!AU75="",0,IF(Oct!AU75&lt;&gt;"OK",1,0))+IF(Nov!AU75="",0,IF(Nov!AU75&lt;&gt;"OK",1,0))+IF(Dec!AU75="",0,IF(Dec!AU75&lt;&gt;"OK",1,0)))</f>
        <v/>
      </c>
      <c r="P102" s="70">
        <f>IF($A102="","",IF(OR(Jan!AU75="CRITICAL",Feb!AU75="CRITICAL",Mar!AU75="CRITICAL",Apr!AU75="CRITICAL",May!AU75="CRITICAL",Jun!AU75="CRITICAL",Jul!AU75="CRITICAL",Aug!AU75="CRITICAL",Sep!AU75="CRITICAL",Oct!AU75="CRITICAL",Nov!AU75="CRITICAL",Dec!AU75="CRITICAL",$G102&gt;=2),"CRITICAL",IF(OR($G102&gt;0,$O102&gt;0,$N102&lt;0.95),"REVIEW","OK")))</f>
        <v/>
      </c>
    </row>
    <row r="103" ht="18" customHeight="1" s="57">
      <c r="A103" s="70">
        <f>IF('Employee Master'!A76="","",'Employee Master'!A76)</f>
        <v/>
      </c>
      <c r="B103" s="63">
        <f>IF($A103="","",'Employee Master'!B76)</f>
        <v/>
      </c>
      <c r="C103" s="70">
        <f>IF($A103="","",'Employee Master'!C76)</f>
        <v/>
      </c>
      <c r="D103" s="70">
        <f>IF($A103="","",$B$5)</f>
        <v/>
      </c>
      <c r="E103" s="70">
        <f>IF($A103="","",Jan!AI76+Feb!AI76+Mar!AI76+Apr!AI76+May!AI76+Jun!AI76+Jul!AI76+Aug!AI76+Sep!AI76+Oct!AI76+Nov!AI76+Dec!AI76)</f>
        <v/>
      </c>
      <c r="F103" s="70">
        <f>IF($A103="","",Jan!AJ76+Feb!AJ76+Mar!AJ76+Apr!AJ76+May!AJ76+Jun!AJ76+Jul!AJ76+Aug!AJ76+Sep!AJ76+Oct!AJ76+Nov!AJ76+Dec!AJ76)</f>
        <v/>
      </c>
      <c r="G103" s="70">
        <f>IF($A103="","",Jan!AK76+Feb!AK76+Mar!AK76+Apr!AK76+May!AK76+Jun!AK76+Jul!AK76+Aug!AK76+Sep!AK76+Oct!AK76+Nov!AK76+Dec!AK76)</f>
        <v/>
      </c>
      <c r="H103" s="70">
        <f>IF($A103="","",Jan!AL76+Feb!AL76+Mar!AL76+Apr!AL76+May!AL76+Jun!AL76+Jul!AL76+Aug!AL76+Sep!AL76+Oct!AL76+Nov!AL76+Dec!AL76)</f>
        <v/>
      </c>
      <c r="I103" s="70">
        <f>IF($A103="","",Jan!AM76+Feb!AM76+Mar!AM76+Apr!AM76+May!AM76+Jun!AM76+Jul!AM76+Aug!AM76+Sep!AM76+Oct!AM76+Nov!AM76+Dec!AM76)</f>
        <v/>
      </c>
      <c r="J103" s="70">
        <f>IF($A103="","",Jan!AN76+Feb!AN76+Mar!AN76+Apr!AN76+May!AN76+Jun!AN76+Jul!AN76+Aug!AN76+Sep!AN76+Oct!AN76+Nov!AN76+Dec!AN76)</f>
        <v/>
      </c>
      <c r="K103" s="70">
        <f>IF($A103="","",Jan!AO76+Feb!AO76+Mar!AO76+Apr!AO76+May!AO76+Jun!AO76+Jul!AO76+Aug!AO76+Sep!AO76+Oct!AO76+Nov!AO76+Dec!AO76)</f>
        <v/>
      </c>
      <c r="L103" s="70">
        <f>IF($A103="","",Jan!AP76+Feb!AP76+Mar!AP76+Apr!AP76+May!AP76+Jun!AP76+Jul!AP76+Aug!AP76+Sep!AP76+Oct!AP76+Nov!AP76+Dec!AP76)</f>
        <v/>
      </c>
      <c r="M103" s="90">
        <f>IF(OR($A103="",$D103=0),"",$E103/$D103)</f>
        <v/>
      </c>
      <c r="N103" s="90">
        <f>IF(OR($A103="",$D103=0),"",($E103+$F103)/$D103)</f>
        <v/>
      </c>
      <c r="O103" s="70">
        <f>IF($A103="","",IF(Jan!AU76="",0,IF(Jan!AU76&lt;&gt;"OK",1,0))+IF(Feb!AU76="",0,IF(Feb!AU76&lt;&gt;"OK",1,0))+IF(Mar!AU76="",0,IF(Mar!AU76&lt;&gt;"OK",1,0))+IF(Apr!AU76="",0,IF(Apr!AU76&lt;&gt;"OK",1,0))+IF(May!AU76="",0,IF(May!AU76&lt;&gt;"OK",1,0))+IF(Jun!AU76="",0,IF(Jun!AU76&lt;&gt;"OK",1,0))+IF(Jul!AU76="",0,IF(Jul!AU76&lt;&gt;"OK",1,0))+IF(Aug!AU76="",0,IF(Aug!AU76&lt;&gt;"OK",1,0))+IF(Sep!AU76="",0,IF(Sep!AU76&lt;&gt;"OK",1,0))+IF(Oct!AU76="",0,IF(Oct!AU76&lt;&gt;"OK",1,0))+IF(Nov!AU76="",0,IF(Nov!AU76&lt;&gt;"OK",1,0))+IF(Dec!AU76="",0,IF(Dec!AU76&lt;&gt;"OK",1,0)))</f>
        <v/>
      </c>
      <c r="P103" s="70">
        <f>IF($A103="","",IF(OR(Jan!AU76="CRITICAL",Feb!AU76="CRITICAL",Mar!AU76="CRITICAL",Apr!AU76="CRITICAL",May!AU76="CRITICAL",Jun!AU76="CRITICAL",Jul!AU76="CRITICAL",Aug!AU76="CRITICAL",Sep!AU76="CRITICAL",Oct!AU76="CRITICAL",Nov!AU76="CRITICAL",Dec!AU76="CRITICAL",$G103&gt;=2),"CRITICAL",IF(OR($G103&gt;0,$O103&gt;0,$N103&lt;0.95),"REVIEW","OK")))</f>
        <v/>
      </c>
    </row>
    <row r="104" ht="18" customHeight="1" s="57">
      <c r="A104" s="70">
        <f>IF('Employee Master'!A77="","",'Employee Master'!A77)</f>
        <v/>
      </c>
      <c r="B104" s="63">
        <f>IF($A104="","",'Employee Master'!B77)</f>
        <v/>
      </c>
      <c r="C104" s="70">
        <f>IF($A104="","",'Employee Master'!C77)</f>
        <v/>
      </c>
      <c r="D104" s="70">
        <f>IF($A104="","",$B$5)</f>
        <v/>
      </c>
      <c r="E104" s="70">
        <f>IF($A104="","",Jan!AI77+Feb!AI77+Mar!AI77+Apr!AI77+May!AI77+Jun!AI77+Jul!AI77+Aug!AI77+Sep!AI77+Oct!AI77+Nov!AI77+Dec!AI77)</f>
        <v/>
      </c>
      <c r="F104" s="70">
        <f>IF($A104="","",Jan!AJ77+Feb!AJ77+Mar!AJ77+Apr!AJ77+May!AJ77+Jun!AJ77+Jul!AJ77+Aug!AJ77+Sep!AJ77+Oct!AJ77+Nov!AJ77+Dec!AJ77)</f>
        <v/>
      </c>
      <c r="G104" s="70">
        <f>IF($A104="","",Jan!AK77+Feb!AK77+Mar!AK77+Apr!AK77+May!AK77+Jun!AK77+Jul!AK77+Aug!AK77+Sep!AK77+Oct!AK77+Nov!AK77+Dec!AK77)</f>
        <v/>
      </c>
      <c r="H104" s="70">
        <f>IF($A104="","",Jan!AL77+Feb!AL77+Mar!AL77+Apr!AL77+May!AL77+Jun!AL77+Jul!AL77+Aug!AL77+Sep!AL77+Oct!AL77+Nov!AL77+Dec!AL77)</f>
        <v/>
      </c>
      <c r="I104" s="70">
        <f>IF($A104="","",Jan!AM77+Feb!AM77+Mar!AM77+Apr!AM77+May!AM77+Jun!AM77+Jul!AM77+Aug!AM77+Sep!AM77+Oct!AM77+Nov!AM77+Dec!AM77)</f>
        <v/>
      </c>
      <c r="J104" s="70">
        <f>IF($A104="","",Jan!AN77+Feb!AN77+Mar!AN77+Apr!AN77+May!AN77+Jun!AN77+Jul!AN77+Aug!AN77+Sep!AN77+Oct!AN77+Nov!AN77+Dec!AN77)</f>
        <v/>
      </c>
      <c r="K104" s="70">
        <f>IF($A104="","",Jan!AO77+Feb!AO77+Mar!AO77+Apr!AO77+May!AO77+Jun!AO77+Jul!AO77+Aug!AO77+Sep!AO77+Oct!AO77+Nov!AO77+Dec!AO77)</f>
        <v/>
      </c>
      <c r="L104" s="70">
        <f>IF($A104="","",Jan!AP77+Feb!AP77+Mar!AP77+Apr!AP77+May!AP77+Jun!AP77+Jul!AP77+Aug!AP77+Sep!AP77+Oct!AP77+Nov!AP77+Dec!AP77)</f>
        <v/>
      </c>
      <c r="M104" s="90">
        <f>IF(OR($A104="",$D104=0),"",$E104/$D104)</f>
        <v/>
      </c>
      <c r="N104" s="90">
        <f>IF(OR($A104="",$D104=0),"",($E104+$F104)/$D104)</f>
        <v/>
      </c>
      <c r="O104" s="70">
        <f>IF($A104="","",IF(Jan!AU77="",0,IF(Jan!AU77&lt;&gt;"OK",1,0))+IF(Feb!AU77="",0,IF(Feb!AU77&lt;&gt;"OK",1,0))+IF(Mar!AU77="",0,IF(Mar!AU77&lt;&gt;"OK",1,0))+IF(Apr!AU77="",0,IF(Apr!AU77&lt;&gt;"OK",1,0))+IF(May!AU77="",0,IF(May!AU77&lt;&gt;"OK",1,0))+IF(Jun!AU77="",0,IF(Jun!AU77&lt;&gt;"OK",1,0))+IF(Jul!AU77="",0,IF(Jul!AU77&lt;&gt;"OK",1,0))+IF(Aug!AU77="",0,IF(Aug!AU77&lt;&gt;"OK",1,0))+IF(Sep!AU77="",0,IF(Sep!AU77&lt;&gt;"OK",1,0))+IF(Oct!AU77="",0,IF(Oct!AU77&lt;&gt;"OK",1,0))+IF(Nov!AU77="",0,IF(Nov!AU77&lt;&gt;"OK",1,0))+IF(Dec!AU77="",0,IF(Dec!AU77&lt;&gt;"OK",1,0)))</f>
        <v/>
      </c>
      <c r="P104" s="70">
        <f>IF($A104="","",IF(OR(Jan!AU77="CRITICAL",Feb!AU77="CRITICAL",Mar!AU77="CRITICAL",Apr!AU77="CRITICAL",May!AU77="CRITICAL",Jun!AU77="CRITICAL",Jul!AU77="CRITICAL",Aug!AU77="CRITICAL",Sep!AU77="CRITICAL",Oct!AU77="CRITICAL",Nov!AU77="CRITICAL",Dec!AU77="CRITICAL",$G104&gt;=2),"CRITICAL",IF(OR($G104&gt;0,$O104&gt;0,$N104&lt;0.95),"REVIEW","OK")))</f>
        <v/>
      </c>
    </row>
    <row r="105" ht="18" customHeight="1" s="57">
      <c r="A105" s="70">
        <f>IF('Employee Master'!A78="","",'Employee Master'!A78)</f>
        <v/>
      </c>
      <c r="B105" s="63">
        <f>IF($A105="","",'Employee Master'!B78)</f>
        <v/>
      </c>
      <c r="C105" s="70">
        <f>IF($A105="","",'Employee Master'!C78)</f>
        <v/>
      </c>
      <c r="D105" s="70">
        <f>IF($A105="","",$B$5)</f>
        <v/>
      </c>
      <c r="E105" s="70">
        <f>IF($A105="","",Jan!AI78+Feb!AI78+Mar!AI78+Apr!AI78+May!AI78+Jun!AI78+Jul!AI78+Aug!AI78+Sep!AI78+Oct!AI78+Nov!AI78+Dec!AI78)</f>
        <v/>
      </c>
      <c r="F105" s="70">
        <f>IF($A105="","",Jan!AJ78+Feb!AJ78+Mar!AJ78+Apr!AJ78+May!AJ78+Jun!AJ78+Jul!AJ78+Aug!AJ78+Sep!AJ78+Oct!AJ78+Nov!AJ78+Dec!AJ78)</f>
        <v/>
      </c>
      <c r="G105" s="70">
        <f>IF($A105="","",Jan!AK78+Feb!AK78+Mar!AK78+Apr!AK78+May!AK78+Jun!AK78+Jul!AK78+Aug!AK78+Sep!AK78+Oct!AK78+Nov!AK78+Dec!AK78)</f>
        <v/>
      </c>
      <c r="H105" s="70">
        <f>IF($A105="","",Jan!AL78+Feb!AL78+Mar!AL78+Apr!AL78+May!AL78+Jun!AL78+Jul!AL78+Aug!AL78+Sep!AL78+Oct!AL78+Nov!AL78+Dec!AL78)</f>
        <v/>
      </c>
      <c r="I105" s="70">
        <f>IF($A105="","",Jan!AM78+Feb!AM78+Mar!AM78+Apr!AM78+May!AM78+Jun!AM78+Jul!AM78+Aug!AM78+Sep!AM78+Oct!AM78+Nov!AM78+Dec!AM78)</f>
        <v/>
      </c>
      <c r="J105" s="70">
        <f>IF($A105="","",Jan!AN78+Feb!AN78+Mar!AN78+Apr!AN78+May!AN78+Jun!AN78+Jul!AN78+Aug!AN78+Sep!AN78+Oct!AN78+Nov!AN78+Dec!AN78)</f>
        <v/>
      </c>
      <c r="K105" s="70">
        <f>IF($A105="","",Jan!AO78+Feb!AO78+Mar!AO78+Apr!AO78+May!AO78+Jun!AO78+Jul!AO78+Aug!AO78+Sep!AO78+Oct!AO78+Nov!AO78+Dec!AO78)</f>
        <v/>
      </c>
      <c r="L105" s="70">
        <f>IF($A105="","",Jan!AP78+Feb!AP78+Mar!AP78+Apr!AP78+May!AP78+Jun!AP78+Jul!AP78+Aug!AP78+Sep!AP78+Oct!AP78+Nov!AP78+Dec!AP78)</f>
        <v/>
      </c>
      <c r="M105" s="90">
        <f>IF(OR($A105="",$D105=0),"",$E105/$D105)</f>
        <v/>
      </c>
      <c r="N105" s="90">
        <f>IF(OR($A105="",$D105=0),"",($E105+$F105)/$D105)</f>
        <v/>
      </c>
      <c r="O105" s="70">
        <f>IF($A105="","",IF(Jan!AU78="",0,IF(Jan!AU78&lt;&gt;"OK",1,0))+IF(Feb!AU78="",0,IF(Feb!AU78&lt;&gt;"OK",1,0))+IF(Mar!AU78="",0,IF(Mar!AU78&lt;&gt;"OK",1,0))+IF(Apr!AU78="",0,IF(Apr!AU78&lt;&gt;"OK",1,0))+IF(May!AU78="",0,IF(May!AU78&lt;&gt;"OK",1,0))+IF(Jun!AU78="",0,IF(Jun!AU78&lt;&gt;"OK",1,0))+IF(Jul!AU78="",0,IF(Jul!AU78&lt;&gt;"OK",1,0))+IF(Aug!AU78="",0,IF(Aug!AU78&lt;&gt;"OK",1,0))+IF(Sep!AU78="",0,IF(Sep!AU78&lt;&gt;"OK",1,0))+IF(Oct!AU78="",0,IF(Oct!AU78&lt;&gt;"OK",1,0))+IF(Nov!AU78="",0,IF(Nov!AU78&lt;&gt;"OK",1,0))+IF(Dec!AU78="",0,IF(Dec!AU78&lt;&gt;"OK",1,0)))</f>
        <v/>
      </c>
      <c r="P105" s="70">
        <f>IF($A105="","",IF(OR(Jan!AU78="CRITICAL",Feb!AU78="CRITICAL",Mar!AU78="CRITICAL",Apr!AU78="CRITICAL",May!AU78="CRITICAL",Jun!AU78="CRITICAL",Jul!AU78="CRITICAL",Aug!AU78="CRITICAL",Sep!AU78="CRITICAL",Oct!AU78="CRITICAL",Nov!AU78="CRITICAL",Dec!AU78="CRITICAL",$G105&gt;=2),"CRITICAL",IF(OR($G105&gt;0,$O105&gt;0,$N105&lt;0.95),"REVIEW","OK")))</f>
        <v/>
      </c>
    </row>
    <row r="106" ht="18" customHeight="1" s="57">
      <c r="A106" s="70">
        <f>IF('Employee Master'!A79="","",'Employee Master'!A79)</f>
        <v/>
      </c>
      <c r="B106" s="63">
        <f>IF($A106="","",'Employee Master'!B79)</f>
        <v/>
      </c>
      <c r="C106" s="70">
        <f>IF($A106="","",'Employee Master'!C79)</f>
        <v/>
      </c>
      <c r="D106" s="70">
        <f>IF($A106="","",$B$5)</f>
        <v/>
      </c>
      <c r="E106" s="70">
        <f>IF($A106="","",Jan!AI79+Feb!AI79+Mar!AI79+Apr!AI79+May!AI79+Jun!AI79+Jul!AI79+Aug!AI79+Sep!AI79+Oct!AI79+Nov!AI79+Dec!AI79)</f>
        <v/>
      </c>
      <c r="F106" s="70">
        <f>IF($A106="","",Jan!AJ79+Feb!AJ79+Mar!AJ79+Apr!AJ79+May!AJ79+Jun!AJ79+Jul!AJ79+Aug!AJ79+Sep!AJ79+Oct!AJ79+Nov!AJ79+Dec!AJ79)</f>
        <v/>
      </c>
      <c r="G106" s="70">
        <f>IF($A106="","",Jan!AK79+Feb!AK79+Mar!AK79+Apr!AK79+May!AK79+Jun!AK79+Jul!AK79+Aug!AK79+Sep!AK79+Oct!AK79+Nov!AK79+Dec!AK79)</f>
        <v/>
      </c>
      <c r="H106" s="70">
        <f>IF($A106="","",Jan!AL79+Feb!AL79+Mar!AL79+Apr!AL79+May!AL79+Jun!AL79+Jul!AL79+Aug!AL79+Sep!AL79+Oct!AL79+Nov!AL79+Dec!AL79)</f>
        <v/>
      </c>
      <c r="I106" s="70">
        <f>IF($A106="","",Jan!AM79+Feb!AM79+Mar!AM79+Apr!AM79+May!AM79+Jun!AM79+Jul!AM79+Aug!AM79+Sep!AM79+Oct!AM79+Nov!AM79+Dec!AM79)</f>
        <v/>
      </c>
      <c r="J106" s="70">
        <f>IF($A106="","",Jan!AN79+Feb!AN79+Mar!AN79+Apr!AN79+May!AN79+Jun!AN79+Jul!AN79+Aug!AN79+Sep!AN79+Oct!AN79+Nov!AN79+Dec!AN79)</f>
        <v/>
      </c>
      <c r="K106" s="70">
        <f>IF($A106="","",Jan!AO79+Feb!AO79+Mar!AO79+Apr!AO79+May!AO79+Jun!AO79+Jul!AO79+Aug!AO79+Sep!AO79+Oct!AO79+Nov!AO79+Dec!AO79)</f>
        <v/>
      </c>
      <c r="L106" s="70">
        <f>IF($A106="","",Jan!AP79+Feb!AP79+Mar!AP79+Apr!AP79+May!AP79+Jun!AP79+Jul!AP79+Aug!AP79+Sep!AP79+Oct!AP79+Nov!AP79+Dec!AP79)</f>
        <v/>
      </c>
      <c r="M106" s="90">
        <f>IF(OR($A106="",$D106=0),"",$E106/$D106)</f>
        <v/>
      </c>
      <c r="N106" s="90">
        <f>IF(OR($A106="",$D106=0),"",($E106+$F106)/$D106)</f>
        <v/>
      </c>
      <c r="O106" s="70">
        <f>IF($A106="","",IF(Jan!AU79="",0,IF(Jan!AU79&lt;&gt;"OK",1,0))+IF(Feb!AU79="",0,IF(Feb!AU79&lt;&gt;"OK",1,0))+IF(Mar!AU79="",0,IF(Mar!AU79&lt;&gt;"OK",1,0))+IF(Apr!AU79="",0,IF(Apr!AU79&lt;&gt;"OK",1,0))+IF(May!AU79="",0,IF(May!AU79&lt;&gt;"OK",1,0))+IF(Jun!AU79="",0,IF(Jun!AU79&lt;&gt;"OK",1,0))+IF(Jul!AU79="",0,IF(Jul!AU79&lt;&gt;"OK",1,0))+IF(Aug!AU79="",0,IF(Aug!AU79&lt;&gt;"OK",1,0))+IF(Sep!AU79="",0,IF(Sep!AU79&lt;&gt;"OK",1,0))+IF(Oct!AU79="",0,IF(Oct!AU79&lt;&gt;"OK",1,0))+IF(Nov!AU79="",0,IF(Nov!AU79&lt;&gt;"OK",1,0))+IF(Dec!AU79="",0,IF(Dec!AU79&lt;&gt;"OK",1,0)))</f>
        <v/>
      </c>
      <c r="P106" s="70">
        <f>IF($A106="","",IF(OR(Jan!AU79="CRITICAL",Feb!AU79="CRITICAL",Mar!AU79="CRITICAL",Apr!AU79="CRITICAL",May!AU79="CRITICAL",Jun!AU79="CRITICAL",Jul!AU79="CRITICAL",Aug!AU79="CRITICAL",Sep!AU79="CRITICAL",Oct!AU79="CRITICAL",Nov!AU79="CRITICAL",Dec!AU79="CRITICAL",$G106&gt;=2),"CRITICAL",IF(OR($G106&gt;0,$O106&gt;0,$N106&lt;0.95),"REVIEW","OK")))</f>
        <v/>
      </c>
    </row>
    <row r="107" ht="18" customHeight="1" s="57">
      <c r="A107" s="70">
        <f>IF('Employee Master'!A80="","",'Employee Master'!A80)</f>
        <v/>
      </c>
      <c r="B107" s="63">
        <f>IF($A107="","",'Employee Master'!B80)</f>
        <v/>
      </c>
      <c r="C107" s="70">
        <f>IF($A107="","",'Employee Master'!C80)</f>
        <v/>
      </c>
      <c r="D107" s="70">
        <f>IF($A107="","",$B$5)</f>
        <v/>
      </c>
      <c r="E107" s="70">
        <f>IF($A107="","",Jan!AI80+Feb!AI80+Mar!AI80+Apr!AI80+May!AI80+Jun!AI80+Jul!AI80+Aug!AI80+Sep!AI80+Oct!AI80+Nov!AI80+Dec!AI80)</f>
        <v/>
      </c>
      <c r="F107" s="70">
        <f>IF($A107="","",Jan!AJ80+Feb!AJ80+Mar!AJ80+Apr!AJ80+May!AJ80+Jun!AJ80+Jul!AJ80+Aug!AJ80+Sep!AJ80+Oct!AJ80+Nov!AJ80+Dec!AJ80)</f>
        <v/>
      </c>
      <c r="G107" s="70">
        <f>IF($A107="","",Jan!AK80+Feb!AK80+Mar!AK80+Apr!AK80+May!AK80+Jun!AK80+Jul!AK80+Aug!AK80+Sep!AK80+Oct!AK80+Nov!AK80+Dec!AK80)</f>
        <v/>
      </c>
      <c r="H107" s="70">
        <f>IF($A107="","",Jan!AL80+Feb!AL80+Mar!AL80+Apr!AL80+May!AL80+Jun!AL80+Jul!AL80+Aug!AL80+Sep!AL80+Oct!AL80+Nov!AL80+Dec!AL80)</f>
        <v/>
      </c>
      <c r="I107" s="70">
        <f>IF($A107="","",Jan!AM80+Feb!AM80+Mar!AM80+Apr!AM80+May!AM80+Jun!AM80+Jul!AM80+Aug!AM80+Sep!AM80+Oct!AM80+Nov!AM80+Dec!AM80)</f>
        <v/>
      </c>
      <c r="J107" s="70">
        <f>IF($A107="","",Jan!AN80+Feb!AN80+Mar!AN80+Apr!AN80+May!AN80+Jun!AN80+Jul!AN80+Aug!AN80+Sep!AN80+Oct!AN80+Nov!AN80+Dec!AN80)</f>
        <v/>
      </c>
      <c r="K107" s="70">
        <f>IF($A107="","",Jan!AO80+Feb!AO80+Mar!AO80+Apr!AO80+May!AO80+Jun!AO80+Jul!AO80+Aug!AO80+Sep!AO80+Oct!AO80+Nov!AO80+Dec!AO80)</f>
        <v/>
      </c>
      <c r="L107" s="70">
        <f>IF($A107="","",Jan!AP80+Feb!AP80+Mar!AP80+Apr!AP80+May!AP80+Jun!AP80+Jul!AP80+Aug!AP80+Sep!AP80+Oct!AP80+Nov!AP80+Dec!AP80)</f>
        <v/>
      </c>
      <c r="M107" s="90">
        <f>IF(OR($A107="",$D107=0),"",$E107/$D107)</f>
        <v/>
      </c>
      <c r="N107" s="90">
        <f>IF(OR($A107="",$D107=0),"",($E107+$F107)/$D107)</f>
        <v/>
      </c>
      <c r="O107" s="70">
        <f>IF($A107="","",IF(Jan!AU80="",0,IF(Jan!AU80&lt;&gt;"OK",1,0))+IF(Feb!AU80="",0,IF(Feb!AU80&lt;&gt;"OK",1,0))+IF(Mar!AU80="",0,IF(Mar!AU80&lt;&gt;"OK",1,0))+IF(Apr!AU80="",0,IF(Apr!AU80&lt;&gt;"OK",1,0))+IF(May!AU80="",0,IF(May!AU80&lt;&gt;"OK",1,0))+IF(Jun!AU80="",0,IF(Jun!AU80&lt;&gt;"OK",1,0))+IF(Jul!AU80="",0,IF(Jul!AU80&lt;&gt;"OK",1,0))+IF(Aug!AU80="",0,IF(Aug!AU80&lt;&gt;"OK",1,0))+IF(Sep!AU80="",0,IF(Sep!AU80&lt;&gt;"OK",1,0))+IF(Oct!AU80="",0,IF(Oct!AU80&lt;&gt;"OK",1,0))+IF(Nov!AU80="",0,IF(Nov!AU80&lt;&gt;"OK",1,0))+IF(Dec!AU80="",0,IF(Dec!AU80&lt;&gt;"OK",1,0)))</f>
        <v/>
      </c>
      <c r="P107" s="70">
        <f>IF($A107="","",IF(OR(Jan!AU80="CRITICAL",Feb!AU80="CRITICAL",Mar!AU80="CRITICAL",Apr!AU80="CRITICAL",May!AU80="CRITICAL",Jun!AU80="CRITICAL",Jul!AU80="CRITICAL",Aug!AU80="CRITICAL",Sep!AU80="CRITICAL",Oct!AU80="CRITICAL",Nov!AU80="CRITICAL",Dec!AU80="CRITICAL",$G107&gt;=2),"CRITICAL",IF(OR($G107&gt;0,$O107&gt;0,$N107&lt;0.95),"REVIEW","OK")))</f>
        <v/>
      </c>
    </row>
    <row r="108" ht="18" customHeight="1" s="57">
      <c r="A108" s="70">
        <f>IF('Employee Master'!A81="","",'Employee Master'!A81)</f>
        <v/>
      </c>
      <c r="B108" s="63">
        <f>IF($A108="","",'Employee Master'!B81)</f>
        <v/>
      </c>
      <c r="C108" s="70">
        <f>IF($A108="","",'Employee Master'!C81)</f>
        <v/>
      </c>
      <c r="D108" s="70">
        <f>IF($A108="","",$B$5)</f>
        <v/>
      </c>
      <c r="E108" s="70">
        <f>IF($A108="","",Jan!AI81+Feb!AI81+Mar!AI81+Apr!AI81+May!AI81+Jun!AI81+Jul!AI81+Aug!AI81+Sep!AI81+Oct!AI81+Nov!AI81+Dec!AI81)</f>
        <v/>
      </c>
      <c r="F108" s="70">
        <f>IF($A108="","",Jan!AJ81+Feb!AJ81+Mar!AJ81+Apr!AJ81+May!AJ81+Jun!AJ81+Jul!AJ81+Aug!AJ81+Sep!AJ81+Oct!AJ81+Nov!AJ81+Dec!AJ81)</f>
        <v/>
      </c>
      <c r="G108" s="70">
        <f>IF($A108="","",Jan!AK81+Feb!AK81+Mar!AK81+Apr!AK81+May!AK81+Jun!AK81+Jul!AK81+Aug!AK81+Sep!AK81+Oct!AK81+Nov!AK81+Dec!AK81)</f>
        <v/>
      </c>
      <c r="H108" s="70">
        <f>IF($A108="","",Jan!AL81+Feb!AL81+Mar!AL81+Apr!AL81+May!AL81+Jun!AL81+Jul!AL81+Aug!AL81+Sep!AL81+Oct!AL81+Nov!AL81+Dec!AL81)</f>
        <v/>
      </c>
      <c r="I108" s="70">
        <f>IF($A108="","",Jan!AM81+Feb!AM81+Mar!AM81+Apr!AM81+May!AM81+Jun!AM81+Jul!AM81+Aug!AM81+Sep!AM81+Oct!AM81+Nov!AM81+Dec!AM81)</f>
        <v/>
      </c>
      <c r="J108" s="70">
        <f>IF($A108="","",Jan!AN81+Feb!AN81+Mar!AN81+Apr!AN81+May!AN81+Jun!AN81+Jul!AN81+Aug!AN81+Sep!AN81+Oct!AN81+Nov!AN81+Dec!AN81)</f>
        <v/>
      </c>
      <c r="K108" s="70">
        <f>IF($A108="","",Jan!AO81+Feb!AO81+Mar!AO81+Apr!AO81+May!AO81+Jun!AO81+Jul!AO81+Aug!AO81+Sep!AO81+Oct!AO81+Nov!AO81+Dec!AO81)</f>
        <v/>
      </c>
      <c r="L108" s="70">
        <f>IF($A108="","",Jan!AP81+Feb!AP81+Mar!AP81+Apr!AP81+May!AP81+Jun!AP81+Jul!AP81+Aug!AP81+Sep!AP81+Oct!AP81+Nov!AP81+Dec!AP81)</f>
        <v/>
      </c>
      <c r="M108" s="90">
        <f>IF(OR($A108="",$D108=0),"",$E108/$D108)</f>
        <v/>
      </c>
      <c r="N108" s="90">
        <f>IF(OR($A108="",$D108=0),"",($E108+$F108)/$D108)</f>
        <v/>
      </c>
      <c r="O108" s="70">
        <f>IF($A108="","",IF(Jan!AU81="",0,IF(Jan!AU81&lt;&gt;"OK",1,0))+IF(Feb!AU81="",0,IF(Feb!AU81&lt;&gt;"OK",1,0))+IF(Mar!AU81="",0,IF(Mar!AU81&lt;&gt;"OK",1,0))+IF(Apr!AU81="",0,IF(Apr!AU81&lt;&gt;"OK",1,0))+IF(May!AU81="",0,IF(May!AU81&lt;&gt;"OK",1,0))+IF(Jun!AU81="",0,IF(Jun!AU81&lt;&gt;"OK",1,0))+IF(Jul!AU81="",0,IF(Jul!AU81&lt;&gt;"OK",1,0))+IF(Aug!AU81="",0,IF(Aug!AU81&lt;&gt;"OK",1,0))+IF(Sep!AU81="",0,IF(Sep!AU81&lt;&gt;"OK",1,0))+IF(Oct!AU81="",0,IF(Oct!AU81&lt;&gt;"OK",1,0))+IF(Nov!AU81="",0,IF(Nov!AU81&lt;&gt;"OK",1,0))+IF(Dec!AU81="",0,IF(Dec!AU81&lt;&gt;"OK",1,0)))</f>
        <v/>
      </c>
      <c r="P108" s="70">
        <f>IF($A108="","",IF(OR(Jan!AU81="CRITICAL",Feb!AU81="CRITICAL",Mar!AU81="CRITICAL",Apr!AU81="CRITICAL",May!AU81="CRITICAL",Jun!AU81="CRITICAL",Jul!AU81="CRITICAL",Aug!AU81="CRITICAL",Sep!AU81="CRITICAL",Oct!AU81="CRITICAL",Nov!AU81="CRITICAL",Dec!AU81="CRITICAL",$G108&gt;=2),"CRITICAL",IF(OR($G108&gt;0,$O108&gt;0,$N108&lt;0.95),"REVIEW","OK")))</f>
        <v/>
      </c>
    </row>
    <row r="109" ht="18" customHeight="1" s="57">
      <c r="A109" s="70">
        <f>IF('Employee Master'!A82="","",'Employee Master'!A82)</f>
        <v/>
      </c>
      <c r="B109" s="63">
        <f>IF($A109="","",'Employee Master'!B82)</f>
        <v/>
      </c>
      <c r="C109" s="70">
        <f>IF($A109="","",'Employee Master'!C82)</f>
        <v/>
      </c>
      <c r="D109" s="70">
        <f>IF($A109="","",$B$5)</f>
        <v/>
      </c>
      <c r="E109" s="70">
        <f>IF($A109="","",Jan!AI82+Feb!AI82+Mar!AI82+Apr!AI82+May!AI82+Jun!AI82+Jul!AI82+Aug!AI82+Sep!AI82+Oct!AI82+Nov!AI82+Dec!AI82)</f>
        <v/>
      </c>
      <c r="F109" s="70">
        <f>IF($A109="","",Jan!AJ82+Feb!AJ82+Mar!AJ82+Apr!AJ82+May!AJ82+Jun!AJ82+Jul!AJ82+Aug!AJ82+Sep!AJ82+Oct!AJ82+Nov!AJ82+Dec!AJ82)</f>
        <v/>
      </c>
      <c r="G109" s="70">
        <f>IF($A109="","",Jan!AK82+Feb!AK82+Mar!AK82+Apr!AK82+May!AK82+Jun!AK82+Jul!AK82+Aug!AK82+Sep!AK82+Oct!AK82+Nov!AK82+Dec!AK82)</f>
        <v/>
      </c>
      <c r="H109" s="70">
        <f>IF($A109="","",Jan!AL82+Feb!AL82+Mar!AL82+Apr!AL82+May!AL82+Jun!AL82+Jul!AL82+Aug!AL82+Sep!AL82+Oct!AL82+Nov!AL82+Dec!AL82)</f>
        <v/>
      </c>
      <c r="I109" s="70">
        <f>IF($A109="","",Jan!AM82+Feb!AM82+Mar!AM82+Apr!AM82+May!AM82+Jun!AM82+Jul!AM82+Aug!AM82+Sep!AM82+Oct!AM82+Nov!AM82+Dec!AM82)</f>
        <v/>
      </c>
      <c r="J109" s="70">
        <f>IF($A109="","",Jan!AN82+Feb!AN82+Mar!AN82+Apr!AN82+May!AN82+Jun!AN82+Jul!AN82+Aug!AN82+Sep!AN82+Oct!AN82+Nov!AN82+Dec!AN82)</f>
        <v/>
      </c>
      <c r="K109" s="70">
        <f>IF($A109="","",Jan!AO82+Feb!AO82+Mar!AO82+Apr!AO82+May!AO82+Jun!AO82+Jul!AO82+Aug!AO82+Sep!AO82+Oct!AO82+Nov!AO82+Dec!AO82)</f>
        <v/>
      </c>
      <c r="L109" s="70">
        <f>IF($A109="","",Jan!AP82+Feb!AP82+Mar!AP82+Apr!AP82+May!AP82+Jun!AP82+Jul!AP82+Aug!AP82+Sep!AP82+Oct!AP82+Nov!AP82+Dec!AP82)</f>
        <v/>
      </c>
      <c r="M109" s="90">
        <f>IF(OR($A109="",$D109=0),"",$E109/$D109)</f>
        <v/>
      </c>
      <c r="N109" s="90">
        <f>IF(OR($A109="",$D109=0),"",($E109+$F109)/$D109)</f>
        <v/>
      </c>
      <c r="O109" s="70">
        <f>IF($A109="","",IF(Jan!AU82="",0,IF(Jan!AU82&lt;&gt;"OK",1,0))+IF(Feb!AU82="",0,IF(Feb!AU82&lt;&gt;"OK",1,0))+IF(Mar!AU82="",0,IF(Mar!AU82&lt;&gt;"OK",1,0))+IF(Apr!AU82="",0,IF(Apr!AU82&lt;&gt;"OK",1,0))+IF(May!AU82="",0,IF(May!AU82&lt;&gt;"OK",1,0))+IF(Jun!AU82="",0,IF(Jun!AU82&lt;&gt;"OK",1,0))+IF(Jul!AU82="",0,IF(Jul!AU82&lt;&gt;"OK",1,0))+IF(Aug!AU82="",0,IF(Aug!AU82&lt;&gt;"OK",1,0))+IF(Sep!AU82="",0,IF(Sep!AU82&lt;&gt;"OK",1,0))+IF(Oct!AU82="",0,IF(Oct!AU82&lt;&gt;"OK",1,0))+IF(Nov!AU82="",0,IF(Nov!AU82&lt;&gt;"OK",1,0))+IF(Dec!AU82="",0,IF(Dec!AU82&lt;&gt;"OK",1,0)))</f>
        <v/>
      </c>
      <c r="P109" s="70">
        <f>IF($A109="","",IF(OR(Jan!AU82="CRITICAL",Feb!AU82="CRITICAL",Mar!AU82="CRITICAL",Apr!AU82="CRITICAL",May!AU82="CRITICAL",Jun!AU82="CRITICAL",Jul!AU82="CRITICAL",Aug!AU82="CRITICAL",Sep!AU82="CRITICAL",Oct!AU82="CRITICAL",Nov!AU82="CRITICAL",Dec!AU82="CRITICAL",$G109&gt;=2),"CRITICAL",IF(OR($G109&gt;0,$O109&gt;0,$N109&lt;0.95),"REVIEW","OK")))</f>
        <v/>
      </c>
    </row>
    <row r="110" ht="18" customHeight="1" s="57">
      <c r="A110" s="70">
        <f>IF('Employee Master'!A83="","",'Employee Master'!A83)</f>
        <v/>
      </c>
      <c r="B110" s="63">
        <f>IF($A110="","",'Employee Master'!B83)</f>
        <v/>
      </c>
      <c r="C110" s="70">
        <f>IF($A110="","",'Employee Master'!C83)</f>
        <v/>
      </c>
      <c r="D110" s="70">
        <f>IF($A110="","",$B$5)</f>
        <v/>
      </c>
      <c r="E110" s="70">
        <f>IF($A110="","",Jan!AI83+Feb!AI83+Mar!AI83+Apr!AI83+May!AI83+Jun!AI83+Jul!AI83+Aug!AI83+Sep!AI83+Oct!AI83+Nov!AI83+Dec!AI83)</f>
        <v/>
      </c>
      <c r="F110" s="70">
        <f>IF($A110="","",Jan!AJ83+Feb!AJ83+Mar!AJ83+Apr!AJ83+May!AJ83+Jun!AJ83+Jul!AJ83+Aug!AJ83+Sep!AJ83+Oct!AJ83+Nov!AJ83+Dec!AJ83)</f>
        <v/>
      </c>
      <c r="G110" s="70">
        <f>IF($A110="","",Jan!AK83+Feb!AK83+Mar!AK83+Apr!AK83+May!AK83+Jun!AK83+Jul!AK83+Aug!AK83+Sep!AK83+Oct!AK83+Nov!AK83+Dec!AK83)</f>
        <v/>
      </c>
      <c r="H110" s="70">
        <f>IF($A110="","",Jan!AL83+Feb!AL83+Mar!AL83+Apr!AL83+May!AL83+Jun!AL83+Jul!AL83+Aug!AL83+Sep!AL83+Oct!AL83+Nov!AL83+Dec!AL83)</f>
        <v/>
      </c>
      <c r="I110" s="70">
        <f>IF($A110="","",Jan!AM83+Feb!AM83+Mar!AM83+Apr!AM83+May!AM83+Jun!AM83+Jul!AM83+Aug!AM83+Sep!AM83+Oct!AM83+Nov!AM83+Dec!AM83)</f>
        <v/>
      </c>
      <c r="J110" s="70">
        <f>IF($A110="","",Jan!AN83+Feb!AN83+Mar!AN83+Apr!AN83+May!AN83+Jun!AN83+Jul!AN83+Aug!AN83+Sep!AN83+Oct!AN83+Nov!AN83+Dec!AN83)</f>
        <v/>
      </c>
      <c r="K110" s="70">
        <f>IF($A110="","",Jan!AO83+Feb!AO83+Mar!AO83+Apr!AO83+May!AO83+Jun!AO83+Jul!AO83+Aug!AO83+Sep!AO83+Oct!AO83+Nov!AO83+Dec!AO83)</f>
        <v/>
      </c>
      <c r="L110" s="70">
        <f>IF($A110="","",Jan!AP83+Feb!AP83+Mar!AP83+Apr!AP83+May!AP83+Jun!AP83+Jul!AP83+Aug!AP83+Sep!AP83+Oct!AP83+Nov!AP83+Dec!AP83)</f>
        <v/>
      </c>
      <c r="M110" s="90">
        <f>IF(OR($A110="",$D110=0),"",$E110/$D110)</f>
        <v/>
      </c>
      <c r="N110" s="90">
        <f>IF(OR($A110="",$D110=0),"",($E110+$F110)/$D110)</f>
        <v/>
      </c>
      <c r="O110" s="70">
        <f>IF($A110="","",IF(Jan!AU83="",0,IF(Jan!AU83&lt;&gt;"OK",1,0))+IF(Feb!AU83="",0,IF(Feb!AU83&lt;&gt;"OK",1,0))+IF(Mar!AU83="",0,IF(Mar!AU83&lt;&gt;"OK",1,0))+IF(Apr!AU83="",0,IF(Apr!AU83&lt;&gt;"OK",1,0))+IF(May!AU83="",0,IF(May!AU83&lt;&gt;"OK",1,0))+IF(Jun!AU83="",0,IF(Jun!AU83&lt;&gt;"OK",1,0))+IF(Jul!AU83="",0,IF(Jul!AU83&lt;&gt;"OK",1,0))+IF(Aug!AU83="",0,IF(Aug!AU83&lt;&gt;"OK",1,0))+IF(Sep!AU83="",0,IF(Sep!AU83&lt;&gt;"OK",1,0))+IF(Oct!AU83="",0,IF(Oct!AU83&lt;&gt;"OK",1,0))+IF(Nov!AU83="",0,IF(Nov!AU83&lt;&gt;"OK",1,0))+IF(Dec!AU83="",0,IF(Dec!AU83&lt;&gt;"OK",1,0)))</f>
        <v/>
      </c>
      <c r="P110" s="70">
        <f>IF($A110="","",IF(OR(Jan!AU83="CRITICAL",Feb!AU83="CRITICAL",Mar!AU83="CRITICAL",Apr!AU83="CRITICAL",May!AU83="CRITICAL",Jun!AU83="CRITICAL",Jul!AU83="CRITICAL",Aug!AU83="CRITICAL",Sep!AU83="CRITICAL",Oct!AU83="CRITICAL",Nov!AU83="CRITICAL",Dec!AU83="CRITICAL",$G110&gt;=2),"CRITICAL",IF(OR($G110&gt;0,$O110&gt;0,$N110&lt;0.95),"REVIEW","OK")))</f>
        <v/>
      </c>
    </row>
    <row r="111" ht="18" customHeight="1" s="57">
      <c r="A111" s="70">
        <f>IF('Employee Master'!A84="","",'Employee Master'!A84)</f>
        <v/>
      </c>
      <c r="B111" s="63">
        <f>IF($A111="","",'Employee Master'!B84)</f>
        <v/>
      </c>
      <c r="C111" s="70">
        <f>IF($A111="","",'Employee Master'!C84)</f>
        <v/>
      </c>
      <c r="D111" s="70">
        <f>IF($A111="","",$B$5)</f>
        <v/>
      </c>
      <c r="E111" s="70">
        <f>IF($A111="","",Jan!AI84+Feb!AI84+Mar!AI84+Apr!AI84+May!AI84+Jun!AI84+Jul!AI84+Aug!AI84+Sep!AI84+Oct!AI84+Nov!AI84+Dec!AI84)</f>
        <v/>
      </c>
      <c r="F111" s="70">
        <f>IF($A111="","",Jan!AJ84+Feb!AJ84+Mar!AJ84+Apr!AJ84+May!AJ84+Jun!AJ84+Jul!AJ84+Aug!AJ84+Sep!AJ84+Oct!AJ84+Nov!AJ84+Dec!AJ84)</f>
        <v/>
      </c>
      <c r="G111" s="70">
        <f>IF($A111="","",Jan!AK84+Feb!AK84+Mar!AK84+Apr!AK84+May!AK84+Jun!AK84+Jul!AK84+Aug!AK84+Sep!AK84+Oct!AK84+Nov!AK84+Dec!AK84)</f>
        <v/>
      </c>
      <c r="H111" s="70">
        <f>IF($A111="","",Jan!AL84+Feb!AL84+Mar!AL84+Apr!AL84+May!AL84+Jun!AL84+Jul!AL84+Aug!AL84+Sep!AL84+Oct!AL84+Nov!AL84+Dec!AL84)</f>
        <v/>
      </c>
      <c r="I111" s="70">
        <f>IF($A111="","",Jan!AM84+Feb!AM84+Mar!AM84+Apr!AM84+May!AM84+Jun!AM84+Jul!AM84+Aug!AM84+Sep!AM84+Oct!AM84+Nov!AM84+Dec!AM84)</f>
        <v/>
      </c>
      <c r="J111" s="70">
        <f>IF($A111="","",Jan!AN84+Feb!AN84+Mar!AN84+Apr!AN84+May!AN84+Jun!AN84+Jul!AN84+Aug!AN84+Sep!AN84+Oct!AN84+Nov!AN84+Dec!AN84)</f>
        <v/>
      </c>
      <c r="K111" s="70">
        <f>IF($A111="","",Jan!AO84+Feb!AO84+Mar!AO84+Apr!AO84+May!AO84+Jun!AO84+Jul!AO84+Aug!AO84+Sep!AO84+Oct!AO84+Nov!AO84+Dec!AO84)</f>
        <v/>
      </c>
      <c r="L111" s="70">
        <f>IF($A111="","",Jan!AP84+Feb!AP84+Mar!AP84+Apr!AP84+May!AP84+Jun!AP84+Jul!AP84+Aug!AP84+Sep!AP84+Oct!AP84+Nov!AP84+Dec!AP84)</f>
        <v/>
      </c>
      <c r="M111" s="90">
        <f>IF(OR($A111="",$D111=0),"",$E111/$D111)</f>
        <v/>
      </c>
      <c r="N111" s="90">
        <f>IF(OR($A111="",$D111=0),"",($E111+$F111)/$D111)</f>
        <v/>
      </c>
      <c r="O111" s="70">
        <f>IF($A111="","",IF(Jan!AU84="",0,IF(Jan!AU84&lt;&gt;"OK",1,0))+IF(Feb!AU84="",0,IF(Feb!AU84&lt;&gt;"OK",1,0))+IF(Mar!AU84="",0,IF(Mar!AU84&lt;&gt;"OK",1,0))+IF(Apr!AU84="",0,IF(Apr!AU84&lt;&gt;"OK",1,0))+IF(May!AU84="",0,IF(May!AU84&lt;&gt;"OK",1,0))+IF(Jun!AU84="",0,IF(Jun!AU84&lt;&gt;"OK",1,0))+IF(Jul!AU84="",0,IF(Jul!AU84&lt;&gt;"OK",1,0))+IF(Aug!AU84="",0,IF(Aug!AU84&lt;&gt;"OK",1,0))+IF(Sep!AU84="",0,IF(Sep!AU84&lt;&gt;"OK",1,0))+IF(Oct!AU84="",0,IF(Oct!AU84&lt;&gt;"OK",1,0))+IF(Nov!AU84="",0,IF(Nov!AU84&lt;&gt;"OK",1,0))+IF(Dec!AU84="",0,IF(Dec!AU84&lt;&gt;"OK",1,0)))</f>
        <v/>
      </c>
      <c r="P111" s="70">
        <f>IF($A111="","",IF(OR(Jan!AU84="CRITICAL",Feb!AU84="CRITICAL",Mar!AU84="CRITICAL",Apr!AU84="CRITICAL",May!AU84="CRITICAL",Jun!AU84="CRITICAL",Jul!AU84="CRITICAL",Aug!AU84="CRITICAL",Sep!AU84="CRITICAL",Oct!AU84="CRITICAL",Nov!AU84="CRITICAL",Dec!AU84="CRITICAL",$G111&gt;=2),"CRITICAL",IF(OR($G111&gt;0,$O111&gt;0,$N111&lt;0.95),"REVIEW","OK")))</f>
        <v/>
      </c>
    </row>
    <row r="112" ht="18" customHeight="1" s="57">
      <c r="A112" s="70">
        <f>IF('Employee Master'!A85="","",'Employee Master'!A85)</f>
        <v/>
      </c>
      <c r="B112" s="63">
        <f>IF($A112="","",'Employee Master'!B85)</f>
        <v/>
      </c>
      <c r="C112" s="70">
        <f>IF($A112="","",'Employee Master'!C85)</f>
        <v/>
      </c>
      <c r="D112" s="70">
        <f>IF($A112="","",$B$5)</f>
        <v/>
      </c>
      <c r="E112" s="70">
        <f>IF($A112="","",Jan!AI85+Feb!AI85+Mar!AI85+Apr!AI85+May!AI85+Jun!AI85+Jul!AI85+Aug!AI85+Sep!AI85+Oct!AI85+Nov!AI85+Dec!AI85)</f>
        <v/>
      </c>
      <c r="F112" s="70">
        <f>IF($A112="","",Jan!AJ85+Feb!AJ85+Mar!AJ85+Apr!AJ85+May!AJ85+Jun!AJ85+Jul!AJ85+Aug!AJ85+Sep!AJ85+Oct!AJ85+Nov!AJ85+Dec!AJ85)</f>
        <v/>
      </c>
      <c r="G112" s="70">
        <f>IF($A112="","",Jan!AK85+Feb!AK85+Mar!AK85+Apr!AK85+May!AK85+Jun!AK85+Jul!AK85+Aug!AK85+Sep!AK85+Oct!AK85+Nov!AK85+Dec!AK85)</f>
        <v/>
      </c>
      <c r="H112" s="70">
        <f>IF($A112="","",Jan!AL85+Feb!AL85+Mar!AL85+Apr!AL85+May!AL85+Jun!AL85+Jul!AL85+Aug!AL85+Sep!AL85+Oct!AL85+Nov!AL85+Dec!AL85)</f>
        <v/>
      </c>
      <c r="I112" s="70">
        <f>IF($A112="","",Jan!AM85+Feb!AM85+Mar!AM85+Apr!AM85+May!AM85+Jun!AM85+Jul!AM85+Aug!AM85+Sep!AM85+Oct!AM85+Nov!AM85+Dec!AM85)</f>
        <v/>
      </c>
      <c r="J112" s="70">
        <f>IF($A112="","",Jan!AN85+Feb!AN85+Mar!AN85+Apr!AN85+May!AN85+Jun!AN85+Jul!AN85+Aug!AN85+Sep!AN85+Oct!AN85+Nov!AN85+Dec!AN85)</f>
        <v/>
      </c>
      <c r="K112" s="70">
        <f>IF($A112="","",Jan!AO85+Feb!AO85+Mar!AO85+Apr!AO85+May!AO85+Jun!AO85+Jul!AO85+Aug!AO85+Sep!AO85+Oct!AO85+Nov!AO85+Dec!AO85)</f>
        <v/>
      </c>
      <c r="L112" s="70">
        <f>IF($A112="","",Jan!AP85+Feb!AP85+Mar!AP85+Apr!AP85+May!AP85+Jun!AP85+Jul!AP85+Aug!AP85+Sep!AP85+Oct!AP85+Nov!AP85+Dec!AP85)</f>
        <v/>
      </c>
      <c r="M112" s="90">
        <f>IF(OR($A112="",$D112=0),"",$E112/$D112)</f>
        <v/>
      </c>
      <c r="N112" s="90">
        <f>IF(OR($A112="",$D112=0),"",($E112+$F112)/$D112)</f>
        <v/>
      </c>
      <c r="O112" s="70">
        <f>IF($A112="","",IF(Jan!AU85="",0,IF(Jan!AU85&lt;&gt;"OK",1,0))+IF(Feb!AU85="",0,IF(Feb!AU85&lt;&gt;"OK",1,0))+IF(Mar!AU85="",0,IF(Mar!AU85&lt;&gt;"OK",1,0))+IF(Apr!AU85="",0,IF(Apr!AU85&lt;&gt;"OK",1,0))+IF(May!AU85="",0,IF(May!AU85&lt;&gt;"OK",1,0))+IF(Jun!AU85="",0,IF(Jun!AU85&lt;&gt;"OK",1,0))+IF(Jul!AU85="",0,IF(Jul!AU85&lt;&gt;"OK",1,0))+IF(Aug!AU85="",0,IF(Aug!AU85&lt;&gt;"OK",1,0))+IF(Sep!AU85="",0,IF(Sep!AU85&lt;&gt;"OK",1,0))+IF(Oct!AU85="",0,IF(Oct!AU85&lt;&gt;"OK",1,0))+IF(Nov!AU85="",0,IF(Nov!AU85&lt;&gt;"OK",1,0))+IF(Dec!AU85="",0,IF(Dec!AU85&lt;&gt;"OK",1,0)))</f>
        <v/>
      </c>
      <c r="P112" s="70">
        <f>IF($A112="","",IF(OR(Jan!AU85="CRITICAL",Feb!AU85="CRITICAL",Mar!AU85="CRITICAL",Apr!AU85="CRITICAL",May!AU85="CRITICAL",Jun!AU85="CRITICAL",Jul!AU85="CRITICAL",Aug!AU85="CRITICAL",Sep!AU85="CRITICAL",Oct!AU85="CRITICAL",Nov!AU85="CRITICAL",Dec!AU85="CRITICAL",$G112&gt;=2),"CRITICAL",IF(OR($G112&gt;0,$O112&gt;0,$N112&lt;0.95),"REVIEW","OK")))</f>
        <v/>
      </c>
    </row>
    <row r="113" ht="18" customHeight="1" s="57">
      <c r="A113" s="70">
        <f>IF('Employee Master'!A86="","",'Employee Master'!A86)</f>
        <v/>
      </c>
      <c r="B113" s="63">
        <f>IF($A113="","",'Employee Master'!B86)</f>
        <v/>
      </c>
      <c r="C113" s="70">
        <f>IF($A113="","",'Employee Master'!C86)</f>
        <v/>
      </c>
      <c r="D113" s="70">
        <f>IF($A113="","",$B$5)</f>
        <v/>
      </c>
      <c r="E113" s="70">
        <f>IF($A113="","",Jan!AI86+Feb!AI86+Mar!AI86+Apr!AI86+May!AI86+Jun!AI86+Jul!AI86+Aug!AI86+Sep!AI86+Oct!AI86+Nov!AI86+Dec!AI86)</f>
        <v/>
      </c>
      <c r="F113" s="70">
        <f>IF($A113="","",Jan!AJ86+Feb!AJ86+Mar!AJ86+Apr!AJ86+May!AJ86+Jun!AJ86+Jul!AJ86+Aug!AJ86+Sep!AJ86+Oct!AJ86+Nov!AJ86+Dec!AJ86)</f>
        <v/>
      </c>
      <c r="G113" s="70">
        <f>IF($A113="","",Jan!AK86+Feb!AK86+Mar!AK86+Apr!AK86+May!AK86+Jun!AK86+Jul!AK86+Aug!AK86+Sep!AK86+Oct!AK86+Nov!AK86+Dec!AK86)</f>
        <v/>
      </c>
      <c r="H113" s="70">
        <f>IF($A113="","",Jan!AL86+Feb!AL86+Mar!AL86+Apr!AL86+May!AL86+Jun!AL86+Jul!AL86+Aug!AL86+Sep!AL86+Oct!AL86+Nov!AL86+Dec!AL86)</f>
        <v/>
      </c>
      <c r="I113" s="70">
        <f>IF($A113="","",Jan!AM86+Feb!AM86+Mar!AM86+Apr!AM86+May!AM86+Jun!AM86+Jul!AM86+Aug!AM86+Sep!AM86+Oct!AM86+Nov!AM86+Dec!AM86)</f>
        <v/>
      </c>
      <c r="J113" s="70">
        <f>IF($A113="","",Jan!AN86+Feb!AN86+Mar!AN86+Apr!AN86+May!AN86+Jun!AN86+Jul!AN86+Aug!AN86+Sep!AN86+Oct!AN86+Nov!AN86+Dec!AN86)</f>
        <v/>
      </c>
      <c r="K113" s="70">
        <f>IF($A113="","",Jan!AO86+Feb!AO86+Mar!AO86+Apr!AO86+May!AO86+Jun!AO86+Jul!AO86+Aug!AO86+Sep!AO86+Oct!AO86+Nov!AO86+Dec!AO86)</f>
        <v/>
      </c>
      <c r="L113" s="70">
        <f>IF($A113="","",Jan!AP86+Feb!AP86+Mar!AP86+Apr!AP86+May!AP86+Jun!AP86+Jul!AP86+Aug!AP86+Sep!AP86+Oct!AP86+Nov!AP86+Dec!AP86)</f>
        <v/>
      </c>
      <c r="M113" s="90">
        <f>IF(OR($A113="",$D113=0),"",$E113/$D113)</f>
        <v/>
      </c>
      <c r="N113" s="90">
        <f>IF(OR($A113="",$D113=0),"",($E113+$F113)/$D113)</f>
        <v/>
      </c>
      <c r="O113" s="70">
        <f>IF($A113="","",IF(Jan!AU86="",0,IF(Jan!AU86&lt;&gt;"OK",1,0))+IF(Feb!AU86="",0,IF(Feb!AU86&lt;&gt;"OK",1,0))+IF(Mar!AU86="",0,IF(Mar!AU86&lt;&gt;"OK",1,0))+IF(Apr!AU86="",0,IF(Apr!AU86&lt;&gt;"OK",1,0))+IF(May!AU86="",0,IF(May!AU86&lt;&gt;"OK",1,0))+IF(Jun!AU86="",0,IF(Jun!AU86&lt;&gt;"OK",1,0))+IF(Jul!AU86="",0,IF(Jul!AU86&lt;&gt;"OK",1,0))+IF(Aug!AU86="",0,IF(Aug!AU86&lt;&gt;"OK",1,0))+IF(Sep!AU86="",0,IF(Sep!AU86&lt;&gt;"OK",1,0))+IF(Oct!AU86="",0,IF(Oct!AU86&lt;&gt;"OK",1,0))+IF(Nov!AU86="",0,IF(Nov!AU86&lt;&gt;"OK",1,0))+IF(Dec!AU86="",0,IF(Dec!AU86&lt;&gt;"OK",1,0)))</f>
        <v/>
      </c>
      <c r="P113" s="70">
        <f>IF($A113="","",IF(OR(Jan!AU86="CRITICAL",Feb!AU86="CRITICAL",Mar!AU86="CRITICAL",Apr!AU86="CRITICAL",May!AU86="CRITICAL",Jun!AU86="CRITICAL",Jul!AU86="CRITICAL",Aug!AU86="CRITICAL",Sep!AU86="CRITICAL",Oct!AU86="CRITICAL",Nov!AU86="CRITICAL",Dec!AU86="CRITICAL",$G113&gt;=2),"CRITICAL",IF(OR($G113&gt;0,$O113&gt;0,$N113&lt;0.95),"REVIEW","OK")))</f>
        <v/>
      </c>
    </row>
    <row r="114" ht="18" customHeight="1" s="57">
      <c r="A114" s="70">
        <f>IF('Employee Master'!A87="","",'Employee Master'!A87)</f>
        <v/>
      </c>
      <c r="B114" s="63">
        <f>IF($A114="","",'Employee Master'!B87)</f>
        <v/>
      </c>
      <c r="C114" s="70">
        <f>IF($A114="","",'Employee Master'!C87)</f>
        <v/>
      </c>
      <c r="D114" s="70">
        <f>IF($A114="","",$B$5)</f>
        <v/>
      </c>
      <c r="E114" s="70">
        <f>IF($A114="","",Jan!AI87+Feb!AI87+Mar!AI87+Apr!AI87+May!AI87+Jun!AI87+Jul!AI87+Aug!AI87+Sep!AI87+Oct!AI87+Nov!AI87+Dec!AI87)</f>
        <v/>
      </c>
      <c r="F114" s="70">
        <f>IF($A114="","",Jan!AJ87+Feb!AJ87+Mar!AJ87+Apr!AJ87+May!AJ87+Jun!AJ87+Jul!AJ87+Aug!AJ87+Sep!AJ87+Oct!AJ87+Nov!AJ87+Dec!AJ87)</f>
        <v/>
      </c>
      <c r="G114" s="70">
        <f>IF($A114="","",Jan!AK87+Feb!AK87+Mar!AK87+Apr!AK87+May!AK87+Jun!AK87+Jul!AK87+Aug!AK87+Sep!AK87+Oct!AK87+Nov!AK87+Dec!AK87)</f>
        <v/>
      </c>
      <c r="H114" s="70">
        <f>IF($A114="","",Jan!AL87+Feb!AL87+Mar!AL87+Apr!AL87+May!AL87+Jun!AL87+Jul!AL87+Aug!AL87+Sep!AL87+Oct!AL87+Nov!AL87+Dec!AL87)</f>
        <v/>
      </c>
      <c r="I114" s="70">
        <f>IF($A114="","",Jan!AM87+Feb!AM87+Mar!AM87+Apr!AM87+May!AM87+Jun!AM87+Jul!AM87+Aug!AM87+Sep!AM87+Oct!AM87+Nov!AM87+Dec!AM87)</f>
        <v/>
      </c>
      <c r="J114" s="70">
        <f>IF($A114="","",Jan!AN87+Feb!AN87+Mar!AN87+Apr!AN87+May!AN87+Jun!AN87+Jul!AN87+Aug!AN87+Sep!AN87+Oct!AN87+Nov!AN87+Dec!AN87)</f>
        <v/>
      </c>
      <c r="K114" s="70">
        <f>IF($A114="","",Jan!AO87+Feb!AO87+Mar!AO87+Apr!AO87+May!AO87+Jun!AO87+Jul!AO87+Aug!AO87+Sep!AO87+Oct!AO87+Nov!AO87+Dec!AO87)</f>
        <v/>
      </c>
      <c r="L114" s="70">
        <f>IF($A114="","",Jan!AP87+Feb!AP87+Mar!AP87+Apr!AP87+May!AP87+Jun!AP87+Jul!AP87+Aug!AP87+Sep!AP87+Oct!AP87+Nov!AP87+Dec!AP87)</f>
        <v/>
      </c>
      <c r="M114" s="90">
        <f>IF(OR($A114="",$D114=0),"",$E114/$D114)</f>
        <v/>
      </c>
      <c r="N114" s="90">
        <f>IF(OR($A114="",$D114=0),"",($E114+$F114)/$D114)</f>
        <v/>
      </c>
      <c r="O114" s="70">
        <f>IF($A114="","",IF(Jan!AU87="",0,IF(Jan!AU87&lt;&gt;"OK",1,0))+IF(Feb!AU87="",0,IF(Feb!AU87&lt;&gt;"OK",1,0))+IF(Mar!AU87="",0,IF(Mar!AU87&lt;&gt;"OK",1,0))+IF(Apr!AU87="",0,IF(Apr!AU87&lt;&gt;"OK",1,0))+IF(May!AU87="",0,IF(May!AU87&lt;&gt;"OK",1,0))+IF(Jun!AU87="",0,IF(Jun!AU87&lt;&gt;"OK",1,0))+IF(Jul!AU87="",0,IF(Jul!AU87&lt;&gt;"OK",1,0))+IF(Aug!AU87="",0,IF(Aug!AU87&lt;&gt;"OK",1,0))+IF(Sep!AU87="",0,IF(Sep!AU87&lt;&gt;"OK",1,0))+IF(Oct!AU87="",0,IF(Oct!AU87&lt;&gt;"OK",1,0))+IF(Nov!AU87="",0,IF(Nov!AU87&lt;&gt;"OK",1,0))+IF(Dec!AU87="",0,IF(Dec!AU87&lt;&gt;"OK",1,0)))</f>
        <v/>
      </c>
      <c r="P114" s="70">
        <f>IF($A114="","",IF(OR(Jan!AU87="CRITICAL",Feb!AU87="CRITICAL",Mar!AU87="CRITICAL",Apr!AU87="CRITICAL",May!AU87="CRITICAL",Jun!AU87="CRITICAL",Jul!AU87="CRITICAL",Aug!AU87="CRITICAL",Sep!AU87="CRITICAL",Oct!AU87="CRITICAL",Nov!AU87="CRITICAL",Dec!AU87="CRITICAL",$G114&gt;=2),"CRITICAL",IF(OR($G114&gt;0,$O114&gt;0,$N114&lt;0.95),"REVIEW","OK")))</f>
        <v/>
      </c>
    </row>
    <row r="115" ht="18" customHeight="1" s="57">
      <c r="A115" s="70">
        <f>IF('Employee Master'!A88="","",'Employee Master'!A88)</f>
        <v/>
      </c>
      <c r="B115" s="63">
        <f>IF($A115="","",'Employee Master'!B88)</f>
        <v/>
      </c>
      <c r="C115" s="70">
        <f>IF($A115="","",'Employee Master'!C88)</f>
        <v/>
      </c>
      <c r="D115" s="70">
        <f>IF($A115="","",$B$5)</f>
        <v/>
      </c>
      <c r="E115" s="70">
        <f>IF($A115="","",Jan!AI88+Feb!AI88+Mar!AI88+Apr!AI88+May!AI88+Jun!AI88+Jul!AI88+Aug!AI88+Sep!AI88+Oct!AI88+Nov!AI88+Dec!AI88)</f>
        <v/>
      </c>
      <c r="F115" s="70">
        <f>IF($A115="","",Jan!AJ88+Feb!AJ88+Mar!AJ88+Apr!AJ88+May!AJ88+Jun!AJ88+Jul!AJ88+Aug!AJ88+Sep!AJ88+Oct!AJ88+Nov!AJ88+Dec!AJ88)</f>
        <v/>
      </c>
      <c r="G115" s="70">
        <f>IF($A115="","",Jan!AK88+Feb!AK88+Mar!AK88+Apr!AK88+May!AK88+Jun!AK88+Jul!AK88+Aug!AK88+Sep!AK88+Oct!AK88+Nov!AK88+Dec!AK88)</f>
        <v/>
      </c>
      <c r="H115" s="70">
        <f>IF($A115="","",Jan!AL88+Feb!AL88+Mar!AL88+Apr!AL88+May!AL88+Jun!AL88+Jul!AL88+Aug!AL88+Sep!AL88+Oct!AL88+Nov!AL88+Dec!AL88)</f>
        <v/>
      </c>
      <c r="I115" s="70">
        <f>IF($A115="","",Jan!AM88+Feb!AM88+Mar!AM88+Apr!AM88+May!AM88+Jun!AM88+Jul!AM88+Aug!AM88+Sep!AM88+Oct!AM88+Nov!AM88+Dec!AM88)</f>
        <v/>
      </c>
      <c r="J115" s="70">
        <f>IF($A115="","",Jan!AN88+Feb!AN88+Mar!AN88+Apr!AN88+May!AN88+Jun!AN88+Jul!AN88+Aug!AN88+Sep!AN88+Oct!AN88+Nov!AN88+Dec!AN88)</f>
        <v/>
      </c>
      <c r="K115" s="70">
        <f>IF($A115="","",Jan!AO88+Feb!AO88+Mar!AO88+Apr!AO88+May!AO88+Jun!AO88+Jul!AO88+Aug!AO88+Sep!AO88+Oct!AO88+Nov!AO88+Dec!AO88)</f>
        <v/>
      </c>
      <c r="L115" s="70">
        <f>IF($A115="","",Jan!AP88+Feb!AP88+Mar!AP88+Apr!AP88+May!AP88+Jun!AP88+Jul!AP88+Aug!AP88+Sep!AP88+Oct!AP88+Nov!AP88+Dec!AP88)</f>
        <v/>
      </c>
      <c r="M115" s="90">
        <f>IF(OR($A115="",$D115=0),"",$E115/$D115)</f>
        <v/>
      </c>
      <c r="N115" s="90">
        <f>IF(OR($A115="",$D115=0),"",($E115+$F115)/$D115)</f>
        <v/>
      </c>
      <c r="O115" s="70">
        <f>IF($A115="","",IF(Jan!AU88="",0,IF(Jan!AU88&lt;&gt;"OK",1,0))+IF(Feb!AU88="",0,IF(Feb!AU88&lt;&gt;"OK",1,0))+IF(Mar!AU88="",0,IF(Mar!AU88&lt;&gt;"OK",1,0))+IF(Apr!AU88="",0,IF(Apr!AU88&lt;&gt;"OK",1,0))+IF(May!AU88="",0,IF(May!AU88&lt;&gt;"OK",1,0))+IF(Jun!AU88="",0,IF(Jun!AU88&lt;&gt;"OK",1,0))+IF(Jul!AU88="",0,IF(Jul!AU88&lt;&gt;"OK",1,0))+IF(Aug!AU88="",0,IF(Aug!AU88&lt;&gt;"OK",1,0))+IF(Sep!AU88="",0,IF(Sep!AU88&lt;&gt;"OK",1,0))+IF(Oct!AU88="",0,IF(Oct!AU88&lt;&gt;"OK",1,0))+IF(Nov!AU88="",0,IF(Nov!AU88&lt;&gt;"OK",1,0))+IF(Dec!AU88="",0,IF(Dec!AU88&lt;&gt;"OK",1,0)))</f>
        <v/>
      </c>
      <c r="P115" s="70">
        <f>IF($A115="","",IF(OR(Jan!AU88="CRITICAL",Feb!AU88="CRITICAL",Mar!AU88="CRITICAL",Apr!AU88="CRITICAL",May!AU88="CRITICAL",Jun!AU88="CRITICAL",Jul!AU88="CRITICAL",Aug!AU88="CRITICAL",Sep!AU88="CRITICAL",Oct!AU88="CRITICAL",Nov!AU88="CRITICAL",Dec!AU88="CRITICAL",$G115&gt;=2),"CRITICAL",IF(OR($G115&gt;0,$O115&gt;0,$N115&lt;0.95),"REVIEW","OK")))</f>
        <v/>
      </c>
    </row>
    <row r="116" ht="18" customHeight="1" s="57">
      <c r="A116" s="70">
        <f>IF('Employee Master'!A89="","",'Employee Master'!A89)</f>
        <v/>
      </c>
      <c r="B116" s="63">
        <f>IF($A116="","",'Employee Master'!B89)</f>
        <v/>
      </c>
      <c r="C116" s="70">
        <f>IF($A116="","",'Employee Master'!C89)</f>
        <v/>
      </c>
      <c r="D116" s="70">
        <f>IF($A116="","",$B$5)</f>
        <v/>
      </c>
      <c r="E116" s="70">
        <f>IF($A116="","",Jan!AI89+Feb!AI89+Mar!AI89+Apr!AI89+May!AI89+Jun!AI89+Jul!AI89+Aug!AI89+Sep!AI89+Oct!AI89+Nov!AI89+Dec!AI89)</f>
        <v/>
      </c>
      <c r="F116" s="70">
        <f>IF($A116="","",Jan!AJ89+Feb!AJ89+Mar!AJ89+Apr!AJ89+May!AJ89+Jun!AJ89+Jul!AJ89+Aug!AJ89+Sep!AJ89+Oct!AJ89+Nov!AJ89+Dec!AJ89)</f>
        <v/>
      </c>
      <c r="G116" s="70">
        <f>IF($A116="","",Jan!AK89+Feb!AK89+Mar!AK89+Apr!AK89+May!AK89+Jun!AK89+Jul!AK89+Aug!AK89+Sep!AK89+Oct!AK89+Nov!AK89+Dec!AK89)</f>
        <v/>
      </c>
      <c r="H116" s="70">
        <f>IF($A116="","",Jan!AL89+Feb!AL89+Mar!AL89+Apr!AL89+May!AL89+Jun!AL89+Jul!AL89+Aug!AL89+Sep!AL89+Oct!AL89+Nov!AL89+Dec!AL89)</f>
        <v/>
      </c>
      <c r="I116" s="70">
        <f>IF($A116="","",Jan!AM89+Feb!AM89+Mar!AM89+Apr!AM89+May!AM89+Jun!AM89+Jul!AM89+Aug!AM89+Sep!AM89+Oct!AM89+Nov!AM89+Dec!AM89)</f>
        <v/>
      </c>
      <c r="J116" s="70">
        <f>IF($A116="","",Jan!AN89+Feb!AN89+Mar!AN89+Apr!AN89+May!AN89+Jun!AN89+Jul!AN89+Aug!AN89+Sep!AN89+Oct!AN89+Nov!AN89+Dec!AN89)</f>
        <v/>
      </c>
      <c r="K116" s="70">
        <f>IF($A116="","",Jan!AO89+Feb!AO89+Mar!AO89+Apr!AO89+May!AO89+Jun!AO89+Jul!AO89+Aug!AO89+Sep!AO89+Oct!AO89+Nov!AO89+Dec!AO89)</f>
        <v/>
      </c>
      <c r="L116" s="70">
        <f>IF($A116="","",Jan!AP89+Feb!AP89+Mar!AP89+Apr!AP89+May!AP89+Jun!AP89+Jul!AP89+Aug!AP89+Sep!AP89+Oct!AP89+Nov!AP89+Dec!AP89)</f>
        <v/>
      </c>
      <c r="M116" s="90">
        <f>IF(OR($A116="",$D116=0),"",$E116/$D116)</f>
        <v/>
      </c>
      <c r="N116" s="90">
        <f>IF(OR($A116="",$D116=0),"",($E116+$F116)/$D116)</f>
        <v/>
      </c>
      <c r="O116" s="70">
        <f>IF($A116="","",IF(Jan!AU89="",0,IF(Jan!AU89&lt;&gt;"OK",1,0))+IF(Feb!AU89="",0,IF(Feb!AU89&lt;&gt;"OK",1,0))+IF(Mar!AU89="",0,IF(Mar!AU89&lt;&gt;"OK",1,0))+IF(Apr!AU89="",0,IF(Apr!AU89&lt;&gt;"OK",1,0))+IF(May!AU89="",0,IF(May!AU89&lt;&gt;"OK",1,0))+IF(Jun!AU89="",0,IF(Jun!AU89&lt;&gt;"OK",1,0))+IF(Jul!AU89="",0,IF(Jul!AU89&lt;&gt;"OK",1,0))+IF(Aug!AU89="",0,IF(Aug!AU89&lt;&gt;"OK",1,0))+IF(Sep!AU89="",0,IF(Sep!AU89&lt;&gt;"OK",1,0))+IF(Oct!AU89="",0,IF(Oct!AU89&lt;&gt;"OK",1,0))+IF(Nov!AU89="",0,IF(Nov!AU89&lt;&gt;"OK",1,0))+IF(Dec!AU89="",0,IF(Dec!AU89&lt;&gt;"OK",1,0)))</f>
        <v/>
      </c>
      <c r="P116" s="70">
        <f>IF($A116="","",IF(OR(Jan!AU89="CRITICAL",Feb!AU89="CRITICAL",Mar!AU89="CRITICAL",Apr!AU89="CRITICAL",May!AU89="CRITICAL",Jun!AU89="CRITICAL",Jul!AU89="CRITICAL",Aug!AU89="CRITICAL",Sep!AU89="CRITICAL",Oct!AU89="CRITICAL",Nov!AU89="CRITICAL",Dec!AU89="CRITICAL",$G116&gt;=2),"CRITICAL",IF(OR($G116&gt;0,$O116&gt;0,$N116&lt;0.95),"REVIEW","OK")))</f>
        <v/>
      </c>
    </row>
    <row r="117" ht="18" customHeight="1" s="57">
      <c r="A117" s="70">
        <f>IF('Employee Master'!A90="","",'Employee Master'!A90)</f>
        <v/>
      </c>
      <c r="B117" s="63">
        <f>IF($A117="","",'Employee Master'!B90)</f>
        <v/>
      </c>
      <c r="C117" s="70">
        <f>IF($A117="","",'Employee Master'!C90)</f>
        <v/>
      </c>
      <c r="D117" s="70">
        <f>IF($A117="","",$B$5)</f>
        <v/>
      </c>
      <c r="E117" s="70">
        <f>IF($A117="","",Jan!AI90+Feb!AI90+Mar!AI90+Apr!AI90+May!AI90+Jun!AI90+Jul!AI90+Aug!AI90+Sep!AI90+Oct!AI90+Nov!AI90+Dec!AI90)</f>
        <v/>
      </c>
      <c r="F117" s="70">
        <f>IF($A117="","",Jan!AJ90+Feb!AJ90+Mar!AJ90+Apr!AJ90+May!AJ90+Jun!AJ90+Jul!AJ90+Aug!AJ90+Sep!AJ90+Oct!AJ90+Nov!AJ90+Dec!AJ90)</f>
        <v/>
      </c>
      <c r="G117" s="70">
        <f>IF($A117="","",Jan!AK90+Feb!AK90+Mar!AK90+Apr!AK90+May!AK90+Jun!AK90+Jul!AK90+Aug!AK90+Sep!AK90+Oct!AK90+Nov!AK90+Dec!AK90)</f>
        <v/>
      </c>
      <c r="H117" s="70">
        <f>IF($A117="","",Jan!AL90+Feb!AL90+Mar!AL90+Apr!AL90+May!AL90+Jun!AL90+Jul!AL90+Aug!AL90+Sep!AL90+Oct!AL90+Nov!AL90+Dec!AL90)</f>
        <v/>
      </c>
      <c r="I117" s="70">
        <f>IF($A117="","",Jan!AM90+Feb!AM90+Mar!AM90+Apr!AM90+May!AM90+Jun!AM90+Jul!AM90+Aug!AM90+Sep!AM90+Oct!AM90+Nov!AM90+Dec!AM90)</f>
        <v/>
      </c>
      <c r="J117" s="70">
        <f>IF($A117="","",Jan!AN90+Feb!AN90+Mar!AN90+Apr!AN90+May!AN90+Jun!AN90+Jul!AN90+Aug!AN90+Sep!AN90+Oct!AN90+Nov!AN90+Dec!AN90)</f>
        <v/>
      </c>
      <c r="K117" s="70">
        <f>IF($A117="","",Jan!AO90+Feb!AO90+Mar!AO90+Apr!AO90+May!AO90+Jun!AO90+Jul!AO90+Aug!AO90+Sep!AO90+Oct!AO90+Nov!AO90+Dec!AO90)</f>
        <v/>
      </c>
      <c r="L117" s="70">
        <f>IF($A117="","",Jan!AP90+Feb!AP90+Mar!AP90+Apr!AP90+May!AP90+Jun!AP90+Jul!AP90+Aug!AP90+Sep!AP90+Oct!AP90+Nov!AP90+Dec!AP90)</f>
        <v/>
      </c>
      <c r="M117" s="90">
        <f>IF(OR($A117="",$D117=0),"",$E117/$D117)</f>
        <v/>
      </c>
      <c r="N117" s="90">
        <f>IF(OR($A117="",$D117=0),"",($E117+$F117)/$D117)</f>
        <v/>
      </c>
      <c r="O117" s="70">
        <f>IF($A117="","",IF(Jan!AU90="",0,IF(Jan!AU90&lt;&gt;"OK",1,0))+IF(Feb!AU90="",0,IF(Feb!AU90&lt;&gt;"OK",1,0))+IF(Mar!AU90="",0,IF(Mar!AU90&lt;&gt;"OK",1,0))+IF(Apr!AU90="",0,IF(Apr!AU90&lt;&gt;"OK",1,0))+IF(May!AU90="",0,IF(May!AU90&lt;&gt;"OK",1,0))+IF(Jun!AU90="",0,IF(Jun!AU90&lt;&gt;"OK",1,0))+IF(Jul!AU90="",0,IF(Jul!AU90&lt;&gt;"OK",1,0))+IF(Aug!AU90="",0,IF(Aug!AU90&lt;&gt;"OK",1,0))+IF(Sep!AU90="",0,IF(Sep!AU90&lt;&gt;"OK",1,0))+IF(Oct!AU90="",0,IF(Oct!AU90&lt;&gt;"OK",1,0))+IF(Nov!AU90="",0,IF(Nov!AU90&lt;&gt;"OK",1,0))+IF(Dec!AU90="",0,IF(Dec!AU90&lt;&gt;"OK",1,0)))</f>
        <v/>
      </c>
      <c r="P117" s="70">
        <f>IF($A117="","",IF(OR(Jan!AU90="CRITICAL",Feb!AU90="CRITICAL",Mar!AU90="CRITICAL",Apr!AU90="CRITICAL",May!AU90="CRITICAL",Jun!AU90="CRITICAL",Jul!AU90="CRITICAL",Aug!AU90="CRITICAL",Sep!AU90="CRITICAL",Oct!AU90="CRITICAL",Nov!AU90="CRITICAL",Dec!AU90="CRITICAL",$G117&gt;=2),"CRITICAL",IF(OR($G117&gt;0,$O117&gt;0,$N117&lt;0.95),"REVIEW","OK")))</f>
        <v/>
      </c>
    </row>
    <row r="118" ht="18" customHeight="1" s="57">
      <c r="A118" s="70">
        <f>IF('Employee Master'!A91="","",'Employee Master'!A91)</f>
        <v/>
      </c>
      <c r="B118" s="63">
        <f>IF($A118="","",'Employee Master'!B91)</f>
        <v/>
      </c>
      <c r="C118" s="70">
        <f>IF($A118="","",'Employee Master'!C91)</f>
        <v/>
      </c>
      <c r="D118" s="70">
        <f>IF($A118="","",$B$5)</f>
        <v/>
      </c>
      <c r="E118" s="70">
        <f>IF($A118="","",Jan!AI91+Feb!AI91+Mar!AI91+Apr!AI91+May!AI91+Jun!AI91+Jul!AI91+Aug!AI91+Sep!AI91+Oct!AI91+Nov!AI91+Dec!AI91)</f>
        <v/>
      </c>
      <c r="F118" s="70">
        <f>IF($A118="","",Jan!AJ91+Feb!AJ91+Mar!AJ91+Apr!AJ91+May!AJ91+Jun!AJ91+Jul!AJ91+Aug!AJ91+Sep!AJ91+Oct!AJ91+Nov!AJ91+Dec!AJ91)</f>
        <v/>
      </c>
      <c r="G118" s="70">
        <f>IF($A118="","",Jan!AK91+Feb!AK91+Mar!AK91+Apr!AK91+May!AK91+Jun!AK91+Jul!AK91+Aug!AK91+Sep!AK91+Oct!AK91+Nov!AK91+Dec!AK91)</f>
        <v/>
      </c>
      <c r="H118" s="70">
        <f>IF($A118="","",Jan!AL91+Feb!AL91+Mar!AL91+Apr!AL91+May!AL91+Jun!AL91+Jul!AL91+Aug!AL91+Sep!AL91+Oct!AL91+Nov!AL91+Dec!AL91)</f>
        <v/>
      </c>
      <c r="I118" s="70">
        <f>IF($A118="","",Jan!AM91+Feb!AM91+Mar!AM91+Apr!AM91+May!AM91+Jun!AM91+Jul!AM91+Aug!AM91+Sep!AM91+Oct!AM91+Nov!AM91+Dec!AM91)</f>
        <v/>
      </c>
      <c r="J118" s="70">
        <f>IF($A118="","",Jan!AN91+Feb!AN91+Mar!AN91+Apr!AN91+May!AN91+Jun!AN91+Jul!AN91+Aug!AN91+Sep!AN91+Oct!AN91+Nov!AN91+Dec!AN91)</f>
        <v/>
      </c>
      <c r="K118" s="70">
        <f>IF($A118="","",Jan!AO91+Feb!AO91+Mar!AO91+Apr!AO91+May!AO91+Jun!AO91+Jul!AO91+Aug!AO91+Sep!AO91+Oct!AO91+Nov!AO91+Dec!AO91)</f>
        <v/>
      </c>
      <c r="L118" s="70">
        <f>IF($A118="","",Jan!AP91+Feb!AP91+Mar!AP91+Apr!AP91+May!AP91+Jun!AP91+Jul!AP91+Aug!AP91+Sep!AP91+Oct!AP91+Nov!AP91+Dec!AP91)</f>
        <v/>
      </c>
      <c r="M118" s="90">
        <f>IF(OR($A118="",$D118=0),"",$E118/$D118)</f>
        <v/>
      </c>
      <c r="N118" s="90">
        <f>IF(OR($A118="",$D118=0),"",($E118+$F118)/$D118)</f>
        <v/>
      </c>
      <c r="O118" s="70">
        <f>IF($A118="","",IF(Jan!AU91="",0,IF(Jan!AU91&lt;&gt;"OK",1,0))+IF(Feb!AU91="",0,IF(Feb!AU91&lt;&gt;"OK",1,0))+IF(Mar!AU91="",0,IF(Mar!AU91&lt;&gt;"OK",1,0))+IF(Apr!AU91="",0,IF(Apr!AU91&lt;&gt;"OK",1,0))+IF(May!AU91="",0,IF(May!AU91&lt;&gt;"OK",1,0))+IF(Jun!AU91="",0,IF(Jun!AU91&lt;&gt;"OK",1,0))+IF(Jul!AU91="",0,IF(Jul!AU91&lt;&gt;"OK",1,0))+IF(Aug!AU91="",0,IF(Aug!AU91&lt;&gt;"OK",1,0))+IF(Sep!AU91="",0,IF(Sep!AU91&lt;&gt;"OK",1,0))+IF(Oct!AU91="",0,IF(Oct!AU91&lt;&gt;"OK",1,0))+IF(Nov!AU91="",0,IF(Nov!AU91&lt;&gt;"OK",1,0))+IF(Dec!AU91="",0,IF(Dec!AU91&lt;&gt;"OK",1,0)))</f>
        <v/>
      </c>
      <c r="P118" s="70">
        <f>IF($A118="","",IF(OR(Jan!AU91="CRITICAL",Feb!AU91="CRITICAL",Mar!AU91="CRITICAL",Apr!AU91="CRITICAL",May!AU91="CRITICAL",Jun!AU91="CRITICAL",Jul!AU91="CRITICAL",Aug!AU91="CRITICAL",Sep!AU91="CRITICAL",Oct!AU91="CRITICAL",Nov!AU91="CRITICAL",Dec!AU91="CRITICAL",$G118&gt;=2),"CRITICAL",IF(OR($G118&gt;0,$O118&gt;0,$N118&lt;0.95),"REVIEW","OK")))</f>
        <v/>
      </c>
    </row>
    <row r="119" ht="18" customHeight="1" s="57">
      <c r="A119" s="70">
        <f>IF('Employee Master'!A92="","",'Employee Master'!A92)</f>
        <v/>
      </c>
      <c r="B119" s="63">
        <f>IF($A119="","",'Employee Master'!B92)</f>
        <v/>
      </c>
      <c r="C119" s="70">
        <f>IF($A119="","",'Employee Master'!C92)</f>
        <v/>
      </c>
      <c r="D119" s="70">
        <f>IF($A119="","",$B$5)</f>
        <v/>
      </c>
      <c r="E119" s="70">
        <f>IF($A119="","",Jan!AI92+Feb!AI92+Mar!AI92+Apr!AI92+May!AI92+Jun!AI92+Jul!AI92+Aug!AI92+Sep!AI92+Oct!AI92+Nov!AI92+Dec!AI92)</f>
        <v/>
      </c>
      <c r="F119" s="70">
        <f>IF($A119="","",Jan!AJ92+Feb!AJ92+Mar!AJ92+Apr!AJ92+May!AJ92+Jun!AJ92+Jul!AJ92+Aug!AJ92+Sep!AJ92+Oct!AJ92+Nov!AJ92+Dec!AJ92)</f>
        <v/>
      </c>
      <c r="G119" s="70">
        <f>IF($A119="","",Jan!AK92+Feb!AK92+Mar!AK92+Apr!AK92+May!AK92+Jun!AK92+Jul!AK92+Aug!AK92+Sep!AK92+Oct!AK92+Nov!AK92+Dec!AK92)</f>
        <v/>
      </c>
      <c r="H119" s="70">
        <f>IF($A119="","",Jan!AL92+Feb!AL92+Mar!AL92+Apr!AL92+May!AL92+Jun!AL92+Jul!AL92+Aug!AL92+Sep!AL92+Oct!AL92+Nov!AL92+Dec!AL92)</f>
        <v/>
      </c>
      <c r="I119" s="70">
        <f>IF($A119="","",Jan!AM92+Feb!AM92+Mar!AM92+Apr!AM92+May!AM92+Jun!AM92+Jul!AM92+Aug!AM92+Sep!AM92+Oct!AM92+Nov!AM92+Dec!AM92)</f>
        <v/>
      </c>
      <c r="J119" s="70">
        <f>IF($A119="","",Jan!AN92+Feb!AN92+Mar!AN92+Apr!AN92+May!AN92+Jun!AN92+Jul!AN92+Aug!AN92+Sep!AN92+Oct!AN92+Nov!AN92+Dec!AN92)</f>
        <v/>
      </c>
      <c r="K119" s="70">
        <f>IF($A119="","",Jan!AO92+Feb!AO92+Mar!AO92+Apr!AO92+May!AO92+Jun!AO92+Jul!AO92+Aug!AO92+Sep!AO92+Oct!AO92+Nov!AO92+Dec!AO92)</f>
        <v/>
      </c>
      <c r="L119" s="70">
        <f>IF($A119="","",Jan!AP92+Feb!AP92+Mar!AP92+Apr!AP92+May!AP92+Jun!AP92+Jul!AP92+Aug!AP92+Sep!AP92+Oct!AP92+Nov!AP92+Dec!AP92)</f>
        <v/>
      </c>
      <c r="M119" s="90">
        <f>IF(OR($A119="",$D119=0),"",$E119/$D119)</f>
        <v/>
      </c>
      <c r="N119" s="90">
        <f>IF(OR($A119="",$D119=0),"",($E119+$F119)/$D119)</f>
        <v/>
      </c>
      <c r="O119" s="70">
        <f>IF($A119="","",IF(Jan!AU92="",0,IF(Jan!AU92&lt;&gt;"OK",1,0))+IF(Feb!AU92="",0,IF(Feb!AU92&lt;&gt;"OK",1,0))+IF(Mar!AU92="",0,IF(Mar!AU92&lt;&gt;"OK",1,0))+IF(Apr!AU92="",0,IF(Apr!AU92&lt;&gt;"OK",1,0))+IF(May!AU92="",0,IF(May!AU92&lt;&gt;"OK",1,0))+IF(Jun!AU92="",0,IF(Jun!AU92&lt;&gt;"OK",1,0))+IF(Jul!AU92="",0,IF(Jul!AU92&lt;&gt;"OK",1,0))+IF(Aug!AU92="",0,IF(Aug!AU92&lt;&gt;"OK",1,0))+IF(Sep!AU92="",0,IF(Sep!AU92&lt;&gt;"OK",1,0))+IF(Oct!AU92="",0,IF(Oct!AU92&lt;&gt;"OK",1,0))+IF(Nov!AU92="",0,IF(Nov!AU92&lt;&gt;"OK",1,0))+IF(Dec!AU92="",0,IF(Dec!AU92&lt;&gt;"OK",1,0)))</f>
        <v/>
      </c>
      <c r="P119" s="70">
        <f>IF($A119="","",IF(OR(Jan!AU92="CRITICAL",Feb!AU92="CRITICAL",Mar!AU92="CRITICAL",Apr!AU92="CRITICAL",May!AU92="CRITICAL",Jun!AU92="CRITICAL",Jul!AU92="CRITICAL",Aug!AU92="CRITICAL",Sep!AU92="CRITICAL",Oct!AU92="CRITICAL",Nov!AU92="CRITICAL",Dec!AU92="CRITICAL",$G119&gt;=2),"CRITICAL",IF(OR($G119&gt;0,$O119&gt;0,$N119&lt;0.95),"REVIEW","OK")))</f>
        <v/>
      </c>
    </row>
    <row r="120" ht="18" customHeight="1" s="57">
      <c r="A120" s="70">
        <f>IF('Employee Master'!A93="","",'Employee Master'!A93)</f>
        <v/>
      </c>
      <c r="B120" s="63">
        <f>IF($A120="","",'Employee Master'!B93)</f>
        <v/>
      </c>
      <c r="C120" s="70">
        <f>IF($A120="","",'Employee Master'!C93)</f>
        <v/>
      </c>
      <c r="D120" s="70">
        <f>IF($A120="","",$B$5)</f>
        <v/>
      </c>
      <c r="E120" s="70">
        <f>IF($A120="","",Jan!AI93+Feb!AI93+Mar!AI93+Apr!AI93+May!AI93+Jun!AI93+Jul!AI93+Aug!AI93+Sep!AI93+Oct!AI93+Nov!AI93+Dec!AI93)</f>
        <v/>
      </c>
      <c r="F120" s="70">
        <f>IF($A120="","",Jan!AJ93+Feb!AJ93+Mar!AJ93+Apr!AJ93+May!AJ93+Jun!AJ93+Jul!AJ93+Aug!AJ93+Sep!AJ93+Oct!AJ93+Nov!AJ93+Dec!AJ93)</f>
        <v/>
      </c>
      <c r="G120" s="70">
        <f>IF($A120="","",Jan!AK93+Feb!AK93+Mar!AK93+Apr!AK93+May!AK93+Jun!AK93+Jul!AK93+Aug!AK93+Sep!AK93+Oct!AK93+Nov!AK93+Dec!AK93)</f>
        <v/>
      </c>
      <c r="H120" s="70">
        <f>IF($A120="","",Jan!AL93+Feb!AL93+Mar!AL93+Apr!AL93+May!AL93+Jun!AL93+Jul!AL93+Aug!AL93+Sep!AL93+Oct!AL93+Nov!AL93+Dec!AL93)</f>
        <v/>
      </c>
      <c r="I120" s="70">
        <f>IF($A120="","",Jan!AM93+Feb!AM93+Mar!AM93+Apr!AM93+May!AM93+Jun!AM93+Jul!AM93+Aug!AM93+Sep!AM93+Oct!AM93+Nov!AM93+Dec!AM93)</f>
        <v/>
      </c>
      <c r="J120" s="70">
        <f>IF($A120="","",Jan!AN93+Feb!AN93+Mar!AN93+Apr!AN93+May!AN93+Jun!AN93+Jul!AN93+Aug!AN93+Sep!AN93+Oct!AN93+Nov!AN93+Dec!AN93)</f>
        <v/>
      </c>
      <c r="K120" s="70">
        <f>IF($A120="","",Jan!AO93+Feb!AO93+Mar!AO93+Apr!AO93+May!AO93+Jun!AO93+Jul!AO93+Aug!AO93+Sep!AO93+Oct!AO93+Nov!AO93+Dec!AO93)</f>
        <v/>
      </c>
      <c r="L120" s="70">
        <f>IF($A120="","",Jan!AP93+Feb!AP93+Mar!AP93+Apr!AP93+May!AP93+Jun!AP93+Jul!AP93+Aug!AP93+Sep!AP93+Oct!AP93+Nov!AP93+Dec!AP93)</f>
        <v/>
      </c>
      <c r="M120" s="90">
        <f>IF(OR($A120="",$D120=0),"",$E120/$D120)</f>
        <v/>
      </c>
      <c r="N120" s="90">
        <f>IF(OR($A120="",$D120=0),"",($E120+$F120)/$D120)</f>
        <v/>
      </c>
      <c r="O120" s="70">
        <f>IF($A120="","",IF(Jan!AU93="",0,IF(Jan!AU93&lt;&gt;"OK",1,0))+IF(Feb!AU93="",0,IF(Feb!AU93&lt;&gt;"OK",1,0))+IF(Mar!AU93="",0,IF(Mar!AU93&lt;&gt;"OK",1,0))+IF(Apr!AU93="",0,IF(Apr!AU93&lt;&gt;"OK",1,0))+IF(May!AU93="",0,IF(May!AU93&lt;&gt;"OK",1,0))+IF(Jun!AU93="",0,IF(Jun!AU93&lt;&gt;"OK",1,0))+IF(Jul!AU93="",0,IF(Jul!AU93&lt;&gt;"OK",1,0))+IF(Aug!AU93="",0,IF(Aug!AU93&lt;&gt;"OK",1,0))+IF(Sep!AU93="",0,IF(Sep!AU93&lt;&gt;"OK",1,0))+IF(Oct!AU93="",0,IF(Oct!AU93&lt;&gt;"OK",1,0))+IF(Nov!AU93="",0,IF(Nov!AU93&lt;&gt;"OK",1,0))+IF(Dec!AU93="",0,IF(Dec!AU93&lt;&gt;"OK",1,0)))</f>
        <v/>
      </c>
      <c r="P120" s="70">
        <f>IF($A120="","",IF(OR(Jan!AU93="CRITICAL",Feb!AU93="CRITICAL",Mar!AU93="CRITICAL",Apr!AU93="CRITICAL",May!AU93="CRITICAL",Jun!AU93="CRITICAL",Jul!AU93="CRITICAL",Aug!AU93="CRITICAL",Sep!AU93="CRITICAL",Oct!AU93="CRITICAL",Nov!AU93="CRITICAL",Dec!AU93="CRITICAL",$G120&gt;=2),"CRITICAL",IF(OR($G120&gt;0,$O120&gt;0,$N120&lt;0.95),"REVIEW","OK")))</f>
        <v/>
      </c>
    </row>
    <row r="121" ht="18" customHeight="1" s="57">
      <c r="A121" s="70">
        <f>IF('Employee Master'!A94="","",'Employee Master'!A94)</f>
        <v/>
      </c>
      <c r="B121" s="63">
        <f>IF($A121="","",'Employee Master'!B94)</f>
        <v/>
      </c>
      <c r="C121" s="70">
        <f>IF($A121="","",'Employee Master'!C94)</f>
        <v/>
      </c>
      <c r="D121" s="70">
        <f>IF($A121="","",$B$5)</f>
        <v/>
      </c>
      <c r="E121" s="70">
        <f>IF($A121="","",Jan!AI94+Feb!AI94+Mar!AI94+Apr!AI94+May!AI94+Jun!AI94+Jul!AI94+Aug!AI94+Sep!AI94+Oct!AI94+Nov!AI94+Dec!AI94)</f>
        <v/>
      </c>
      <c r="F121" s="70">
        <f>IF($A121="","",Jan!AJ94+Feb!AJ94+Mar!AJ94+Apr!AJ94+May!AJ94+Jun!AJ94+Jul!AJ94+Aug!AJ94+Sep!AJ94+Oct!AJ94+Nov!AJ94+Dec!AJ94)</f>
        <v/>
      </c>
      <c r="G121" s="70">
        <f>IF($A121="","",Jan!AK94+Feb!AK94+Mar!AK94+Apr!AK94+May!AK94+Jun!AK94+Jul!AK94+Aug!AK94+Sep!AK94+Oct!AK94+Nov!AK94+Dec!AK94)</f>
        <v/>
      </c>
      <c r="H121" s="70">
        <f>IF($A121="","",Jan!AL94+Feb!AL94+Mar!AL94+Apr!AL94+May!AL94+Jun!AL94+Jul!AL94+Aug!AL94+Sep!AL94+Oct!AL94+Nov!AL94+Dec!AL94)</f>
        <v/>
      </c>
      <c r="I121" s="70">
        <f>IF($A121="","",Jan!AM94+Feb!AM94+Mar!AM94+Apr!AM94+May!AM94+Jun!AM94+Jul!AM94+Aug!AM94+Sep!AM94+Oct!AM94+Nov!AM94+Dec!AM94)</f>
        <v/>
      </c>
      <c r="J121" s="70">
        <f>IF($A121="","",Jan!AN94+Feb!AN94+Mar!AN94+Apr!AN94+May!AN94+Jun!AN94+Jul!AN94+Aug!AN94+Sep!AN94+Oct!AN94+Nov!AN94+Dec!AN94)</f>
        <v/>
      </c>
      <c r="K121" s="70">
        <f>IF($A121="","",Jan!AO94+Feb!AO94+Mar!AO94+Apr!AO94+May!AO94+Jun!AO94+Jul!AO94+Aug!AO94+Sep!AO94+Oct!AO94+Nov!AO94+Dec!AO94)</f>
        <v/>
      </c>
      <c r="L121" s="70">
        <f>IF($A121="","",Jan!AP94+Feb!AP94+Mar!AP94+Apr!AP94+May!AP94+Jun!AP94+Jul!AP94+Aug!AP94+Sep!AP94+Oct!AP94+Nov!AP94+Dec!AP94)</f>
        <v/>
      </c>
      <c r="M121" s="90">
        <f>IF(OR($A121="",$D121=0),"",$E121/$D121)</f>
        <v/>
      </c>
      <c r="N121" s="90">
        <f>IF(OR($A121="",$D121=0),"",($E121+$F121)/$D121)</f>
        <v/>
      </c>
      <c r="O121" s="70">
        <f>IF($A121="","",IF(Jan!AU94="",0,IF(Jan!AU94&lt;&gt;"OK",1,0))+IF(Feb!AU94="",0,IF(Feb!AU94&lt;&gt;"OK",1,0))+IF(Mar!AU94="",0,IF(Mar!AU94&lt;&gt;"OK",1,0))+IF(Apr!AU94="",0,IF(Apr!AU94&lt;&gt;"OK",1,0))+IF(May!AU94="",0,IF(May!AU94&lt;&gt;"OK",1,0))+IF(Jun!AU94="",0,IF(Jun!AU94&lt;&gt;"OK",1,0))+IF(Jul!AU94="",0,IF(Jul!AU94&lt;&gt;"OK",1,0))+IF(Aug!AU94="",0,IF(Aug!AU94&lt;&gt;"OK",1,0))+IF(Sep!AU94="",0,IF(Sep!AU94&lt;&gt;"OK",1,0))+IF(Oct!AU94="",0,IF(Oct!AU94&lt;&gt;"OK",1,0))+IF(Nov!AU94="",0,IF(Nov!AU94&lt;&gt;"OK",1,0))+IF(Dec!AU94="",0,IF(Dec!AU94&lt;&gt;"OK",1,0)))</f>
        <v/>
      </c>
      <c r="P121" s="70">
        <f>IF($A121="","",IF(OR(Jan!AU94="CRITICAL",Feb!AU94="CRITICAL",Mar!AU94="CRITICAL",Apr!AU94="CRITICAL",May!AU94="CRITICAL",Jun!AU94="CRITICAL",Jul!AU94="CRITICAL",Aug!AU94="CRITICAL",Sep!AU94="CRITICAL",Oct!AU94="CRITICAL",Nov!AU94="CRITICAL",Dec!AU94="CRITICAL",$G121&gt;=2),"CRITICAL",IF(OR($G121&gt;0,$O121&gt;0,$N121&lt;0.95),"REVIEW","OK")))</f>
        <v/>
      </c>
    </row>
    <row r="122" ht="18" customHeight="1" s="57">
      <c r="A122" s="70">
        <f>IF('Employee Master'!A95="","",'Employee Master'!A95)</f>
        <v/>
      </c>
      <c r="B122" s="63">
        <f>IF($A122="","",'Employee Master'!B95)</f>
        <v/>
      </c>
      <c r="C122" s="70">
        <f>IF($A122="","",'Employee Master'!C95)</f>
        <v/>
      </c>
      <c r="D122" s="70">
        <f>IF($A122="","",$B$5)</f>
        <v/>
      </c>
      <c r="E122" s="70">
        <f>IF($A122="","",Jan!AI95+Feb!AI95+Mar!AI95+Apr!AI95+May!AI95+Jun!AI95+Jul!AI95+Aug!AI95+Sep!AI95+Oct!AI95+Nov!AI95+Dec!AI95)</f>
        <v/>
      </c>
      <c r="F122" s="70">
        <f>IF($A122="","",Jan!AJ95+Feb!AJ95+Mar!AJ95+Apr!AJ95+May!AJ95+Jun!AJ95+Jul!AJ95+Aug!AJ95+Sep!AJ95+Oct!AJ95+Nov!AJ95+Dec!AJ95)</f>
        <v/>
      </c>
      <c r="G122" s="70">
        <f>IF($A122="","",Jan!AK95+Feb!AK95+Mar!AK95+Apr!AK95+May!AK95+Jun!AK95+Jul!AK95+Aug!AK95+Sep!AK95+Oct!AK95+Nov!AK95+Dec!AK95)</f>
        <v/>
      </c>
      <c r="H122" s="70">
        <f>IF($A122="","",Jan!AL95+Feb!AL95+Mar!AL95+Apr!AL95+May!AL95+Jun!AL95+Jul!AL95+Aug!AL95+Sep!AL95+Oct!AL95+Nov!AL95+Dec!AL95)</f>
        <v/>
      </c>
      <c r="I122" s="70">
        <f>IF($A122="","",Jan!AM95+Feb!AM95+Mar!AM95+Apr!AM95+May!AM95+Jun!AM95+Jul!AM95+Aug!AM95+Sep!AM95+Oct!AM95+Nov!AM95+Dec!AM95)</f>
        <v/>
      </c>
      <c r="J122" s="70">
        <f>IF($A122="","",Jan!AN95+Feb!AN95+Mar!AN95+Apr!AN95+May!AN95+Jun!AN95+Jul!AN95+Aug!AN95+Sep!AN95+Oct!AN95+Nov!AN95+Dec!AN95)</f>
        <v/>
      </c>
      <c r="K122" s="70">
        <f>IF($A122="","",Jan!AO95+Feb!AO95+Mar!AO95+Apr!AO95+May!AO95+Jun!AO95+Jul!AO95+Aug!AO95+Sep!AO95+Oct!AO95+Nov!AO95+Dec!AO95)</f>
        <v/>
      </c>
      <c r="L122" s="70">
        <f>IF($A122="","",Jan!AP95+Feb!AP95+Mar!AP95+Apr!AP95+May!AP95+Jun!AP95+Jul!AP95+Aug!AP95+Sep!AP95+Oct!AP95+Nov!AP95+Dec!AP95)</f>
        <v/>
      </c>
      <c r="M122" s="90">
        <f>IF(OR($A122="",$D122=0),"",$E122/$D122)</f>
        <v/>
      </c>
      <c r="N122" s="90">
        <f>IF(OR($A122="",$D122=0),"",($E122+$F122)/$D122)</f>
        <v/>
      </c>
      <c r="O122" s="70">
        <f>IF($A122="","",IF(Jan!AU95="",0,IF(Jan!AU95&lt;&gt;"OK",1,0))+IF(Feb!AU95="",0,IF(Feb!AU95&lt;&gt;"OK",1,0))+IF(Mar!AU95="",0,IF(Mar!AU95&lt;&gt;"OK",1,0))+IF(Apr!AU95="",0,IF(Apr!AU95&lt;&gt;"OK",1,0))+IF(May!AU95="",0,IF(May!AU95&lt;&gt;"OK",1,0))+IF(Jun!AU95="",0,IF(Jun!AU95&lt;&gt;"OK",1,0))+IF(Jul!AU95="",0,IF(Jul!AU95&lt;&gt;"OK",1,0))+IF(Aug!AU95="",0,IF(Aug!AU95&lt;&gt;"OK",1,0))+IF(Sep!AU95="",0,IF(Sep!AU95&lt;&gt;"OK",1,0))+IF(Oct!AU95="",0,IF(Oct!AU95&lt;&gt;"OK",1,0))+IF(Nov!AU95="",0,IF(Nov!AU95&lt;&gt;"OK",1,0))+IF(Dec!AU95="",0,IF(Dec!AU95&lt;&gt;"OK",1,0)))</f>
        <v/>
      </c>
      <c r="P122" s="70">
        <f>IF($A122="","",IF(OR(Jan!AU95="CRITICAL",Feb!AU95="CRITICAL",Mar!AU95="CRITICAL",Apr!AU95="CRITICAL",May!AU95="CRITICAL",Jun!AU95="CRITICAL",Jul!AU95="CRITICAL",Aug!AU95="CRITICAL",Sep!AU95="CRITICAL",Oct!AU95="CRITICAL",Nov!AU95="CRITICAL",Dec!AU95="CRITICAL",$G122&gt;=2),"CRITICAL",IF(OR($G122&gt;0,$O122&gt;0,$N122&lt;0.95),"REVIEW","OK")))</f>
        <v/>
      </c>
    </row>
    <row r="123" ht="18" customHeight="1" s="57">
      <c r="A123" s="70">
        <f>IF('Employee Master'!A96="","",'Employee Master'!A96)</f>
        <v/>
      </c>
      <c r="B123" s="63">
        <f>IF($A123="","",'Employee Master'!B96)</f>
        <v/>
      </c>
      <c r="C123" s="70">
        <f>IF($A123="","",'Employee Master'!C96)</f>
        <v/>
      </c>
      <c r="D123" s="70">
        <f>IF($A123="","",$B$5)</f>
        <v/>
      </c>
      <c r="E123" s="70">
        <f>IF($A123="","",Jan!AI96+Feb!AI96+Mar!AI96+Apr!AI96+May!AI96+Jun!AI96+Jul!AI96+Aug!AI96+Sep!AI96+Oct!AI96+Nov!AI96+Dec!AI96)</f>
        <v/>
      </c>
      <c r="F123" s="70">
        <f>IF($A123="","",Jan!AJ96+Feb!AJ96+Mar!AJ96+Apr!AJ96+May!AJ96+Jun!AJ96+Jul!AJ96+Aug!AJ96+Sep!AJ96+Oct!AJ96+Nov!AJ96+Dec!AJ96)</f>
        <v/>
      </c>
      <c r="G123" s="70">
        <f>IF($A123="","",Jan!AK96+Feb!AK96+Mar!AK96+Apr!AK96+May!AK96+Jun!AK96+Jul!AK96+Aug!AK96+Sep!AK96+Oct!AK96+Nov!AK96+Dec!AK96)</f>
        <v/>
      </c>
      <c r="H123" s="70">
        <f>IF($A123="","",Jan!AL96+Feb!AL96+Mar!AL96+Apr!AL96+May!AL96+Jun!AL96+Jul!AL96+Aug!AL96+Sep!AL96+Oct!AL96+Nov!AL96+Dec!AL96)</f>
        <v/>
      </c>
      <c r="I123" s="70">
        <f>IF($A123="","",Jan!AM96+Feb!AM96+Mar!AM96+Apr!AM96+May!AM96+Jun!AM96+Jul!AM96+Aug!AM96+Sep!AM96+Oct!AM96+Nov!AM96+Dec!AM96)</f>
        <v/>
      </c>
      <c r="J123" s="70">
        <f>IF($A123="","",Jan!AN96+Feb!AN96+Mar!AN96+Apr!AN96+May!AN96+Jun!AN96+Jul!AN96+Aug!AN96+Sep!AN96+Oct!AN96+Nov!AN96+Dec!AN96)</f>
        <v/>
      </c>
      <c r="K123" s="70">
        <f>IF($A123="","",Jan!AO96+Feb!AO96+Mar!AO96+Apr!AO96+May!AO96+Jun!AO96+Jul!AO96+Aug!AO96+Sep!AO96+Oct!AO96+Nov!AO96+Dec!AO96)</f>
        <v/>
      </c>
      <c r="L123" s="70">
        <f>IF($A123="","",Jan!AP96+Feb!AP96+Mar!AP96+Apr!AP96+May!AP96+Jun!AP96+Jul!AP96+Aug!AP96+Sep!AP96+Oct!AP96+Nov!AP96+Dec!AP96)</f>
        <v/>
      </c>
      <c r="M123" s="90">
        <f>IF(OR($A123="",$D123=0),"",$E123/$D123)</f>
        <v/>
      </c>
      <c r="N123" s="90">
        <f>IF(OR($A123="",$D123=0),"",($E123+$F123)/$D123)</f>
        <v/>
      </c>
      <c r="O123" s="70">
        <f>IF($A123="","",IF(Jan!AU96="",0,IF(Jan!AU96&lt;&gt;"OK",1,0))+IF(Feb!AU96="",0,IF(Feb!AU96&lt;&gt;"OK",1,0))+IF(Mar!AU96="",0,IF(Mar!AU96&lt;&gt;"OK",1,0))+IF(Apr!AU96="",0,IF(Apr!AU96&lt;&gt;"OK",1,0))+IF(May!AU96="",0,IF(May!AU96&lt;&gt;"OK",1,0))+IF(Jun!AU96="",0,IF(Jun!AU96&lt;&gt;"OK",1,0))+IF(Jul!AU96="",0,IF(Jul!AU96&lt;&gt;"OK",1,0))+IF(Aug!AU96="",0,IF(Aug!AU96&lt;&gt;"OK",1,0))+IF(Sep!AU96="",0,IF(Sep!AU96&lt;&gt;"OK",1,0))+IF(Oct!AU96="",0,IF(Oct!AU96&lt;&gt;"OK",1,0))+IF(Nov!AU96="",0,IF(Nov!AU96&lt;&gt;"OK",1,0))+IF(Dec!AU96="",0,IF(Dec!AU96&lt;&gt;"OK",1,0)))</f>
        <v/>
      </c>
      <c r="P123" s="70">
        <f>IF($A123="","",IF(OR(Jan!AU96="CRITICAL",Feb!AU96="CRITICAL",Mar!AU96="CRITICAL",Apr!AU96="CRITICAL",May!AU96="CRITICAL",Jun!AU96="CRITICAL",Jul!AU96="CRITICAL",Aug!AU96="CRITICAL",Sep!AU96="CRITICAL",Oct!AU96="CRITICAL",Nov!AU96="CRITICAL",Dec!AU96="CRITICAL",$G123&gt;=2),"CRITICAL",IF(OR($G123&gt;0,$O123&gt;0,$N123&lt;0.95),"REVIEW","OK")))</f>
        <v/>
      </c>
    </row>
    <row r="124" ht="14.45" customHeight="1" s="57">
      <c r="A124" s="70">
        <f>IF('Employee Master'!A97="","",'Employee Master'!A97)</f>
        <v/>
      </c>
      <c r="B124" s="63">
        <f>IF($A124="","",'Employee Master'!B97)</f>
        <v/>
      </c>
      <c r="C124" s="70">
        <f>IF($A124="","",'Employee Master'!C97)</f>
        <v/>
      </c>
      <c r="D124" s="70">
        <f>IF($A124="","",$B$5)</f>
        <v/>
      </c>
      <c r="E124" s="70">
        <f>IF($A124="","",Jan!AI97+Feb!AI97+Mar!AI97+Apr!AI97+May!AI97+Jun!AI97+Jul!AI97+Aug!AI97+Sep!AI97+Oct!AI97+Nov!AI97+Dec!AI97)</f>
        <v/>
      </c>
      <c r="F124" s="70">
        <f>IF($A124="","",Jan!AJ97+Feb!AJ97+Mar!AJ97+Apr!AJ97+May!AJ97+Jun!AJ97+Jul!AJ97+Aug!AJ97+Sep!AJ97+Oct!AJ97+Nov!AJ97+Dec!AJ97)</f>
        <v/>
      </c>
      <c r="G124" s="70">
        <f>IF($A124="","",Jan!AK97+Feb!AK97+Mar!AK97+Apr!AK97+May!AK97+Jun!AK97+Jul!AK97+Aug!AK97+Sep!AK97+Oct!AK97+Nov!AK97+Dec!AK97)</f>
        <v/>
      </c>
      <c r="H124" s="70">
        <f>IF($A124="","",Jan!AL97+Feb!AL97+Mar!AL97+Apr!AL97+May!AL97+Jun!AL97+Jul!AL97+Aug!AL97+Sep!AL97+Oct!AL97+Nov!AL97+Dec!AL97)</f>
        <v/>
      </c>
      <c r="I124" s="70">
        <f>IF($A124="","",Jan!AM97+Feb!AM97+Mar!AM97+Apr!AM97+May!AM97+Jun!AM97+Jul!AM97+Aug!AM97+Sep!AM97+Oct!AM97+Nov!AM97+Dec!AM97)</f>
        <v/>
      </c>
      <c r="J124" s="70">
        <f>IF($A124="","",Jan!AN97+Feb!AN97+Mar!AN97+Apr!AN97+May!AN97+Jun!AN97+Jul!AN97+Aug!AN97+Sep!AN97+Oct!AN97+Nov!AN97+Dec!AN97)</f>
        <v/>
      </c>
      <c r="K124" s="70">
        <f>IF($A124="","",Jan!AO97+Feb!AO97+Mar!AO97+Apr!AO97+May!AO97+Jun!AO97+Jul!AO97+Aug!AO97+Sep!AO97+Oct!AO97+Nov!AO97+Dec!AO97)</f>
        <v/>
      </c>
      <c r="L124" s="70">
        <f>IF($A124="","",Jan!AP97+Feb!AP97+Mar!AP97+Apr!AP97+May!AP97+Jun!AP97+Jul!AP97+Aug!AP97+Sep!AP97+Oct!AP97+Nov!AP97+Dec!AP97)</f>
        <v/>
      </c>
      <c r="M124" s="90">
        <f>IF(OR($A124="",$D124=0),"",$E124/$D124)</f>
        <v/>
      </c>
      <c r="N124" s="90">
        <f>IF(OR($A124="",$D124=0),"",($E124+$F124)/$D124)</f>
        <v/>
      </c>
      <c r="O124" s="70">
        <f>IF($A124="","",IF(Jan!AU97="",0,IF(Jan!AU97&lt;&gt;"OK",1,0))+IF(Feb!AU97="",0,IF(Feb!AU97&lt;&gt;"OK",1,0))+IF(Mar!AU97="",0,IF(Mar!AU97&lt;&gt;"OK",1,0))+IF(Apr!AU97="",0,IF(Apr!AU97&lt;&gt;"OK",1,0))+IF(May!AU97="",0,IF(May!AU97&lt;&gt;"OK",1,0))+IF(Jun!AU97="",0,IF(Jun!AU97&lt;&gt;"OK",1,0))+IF(Jul!AU97="",0,IF(Jul!AU97&lt;&gt;"OK",1,0))+IF(Aug!AU97="",0,IF(Aug!AU97&lt;&gt;"OK",1,0))+IF(Sep!AU97="",0,IF(Sep!AU97&lt;&gt;"OK",1,0))+IF(Oct!AU97="",0,IF(Oct!AU97&lt;&gt;"OK",1,0))+IF(Nov!AU97="",0,IF(Nov!AU97&lt;&gt;"OK",1,0))+IF(Dec!AU97="",0,IF(Dec!AU97&lt;&gt;"OK",1,0)))</f>
        <v/>
      </c>
      <c r="P124" s="70">
        <f>IF($A124="","",IF(OR(Jan!AU97="CRITICAL",Feb!AU97="CRITICAL",Mar!AU97="CRITICAL",Apr!AU97="CRITICAL",May!AU97="CRITICAL",Jun!AU97="CRITICAL",Jul!AU97="CRITICAL",Aug!AU97="CRITICAL",Sep!AU97="CRITICAL",Oct!AU97="CRITICAL",Nov!AU97="CRITICAL",Dec!AU97="CRITICAL",$G124&gt;=2),"CRITICAL",IF(OR($G124&gt;0,$O124&gt;0,$N124&lt;0.95),"REVIEW","OK")))</f>
        <v/>
      </c>
    </row>
    <row r="125" ht="14.45" customHeight="1" s="57">
      <c r="A125" s="70">
        <f>IF('Employee Master'!A98="","",'Employee Master'!A98)</f>
        <v/>
      </c>
      <c r="B125" s="63">
        <f>IF($A125="","",'Employee Master'!B98)</f>
        <v/>
      </c>
      <c r="C125" s="70">
        <f>IF($A125="","",'Employee Master'!C98)</f>
        <v/>
      </c>
      <c r="D125" s="70">
        <f>IF($A125="","",$B$5)</f>
        <v/>
      </c>
      <c r="E125" s="70">
        <f>IF($A125="","",Jan!AI98+Feb!AI98+Mar!AI98+Apr!AI98+May!AI98+Jun!AI98+Jul!AI98+Aug!AI98+Sep!AI98+Oct!AI98+Nov!AI98+Dec!AI98)</f>
        <v/>
      </c>
      <c r="F125" s="70">
        <f>IF($A125="","",Jan!AJ98+Feb!AJ98+Mar!AJ98+Apr!AJ98+May!AJ98+Jun!AJ98+Jul!AJ98+Aug!AJ98+Sep!AJ98+Oct!AJ98+Nov!AJ98+Dec!AJ98)</f>
        <v/>
      </c>
      <c r="G125" s="70">
        <f>IF($A125="","",Jan!AK98+Feb!AK98+Mar!AK98+Apr!AK98+May!AK98+Jun!AK98+Jul!AK98+Aug!AK98+Sep!AK98+Oct!AK98+Nov!AK98+Dec!AK98)</f>
        <v/>
      </c>
      <c r="H125" s="70">
        <f>IF($A125="","",Jan!AL98+Feb!AL98+Mar!AL98+Apr!AL98+May!AL98+Jun!AL98+Jul!AL98+Aug!AL98+Sep!AL98+Oct!AL98+Nov!AL98+Dec!AL98)</f>
        <v/>
      </c>
      <c r="I125" s="70">
        <f>IF($A125="","",Jan!AM98+Feb!AM98+Mar!AM98+Apr!AM98+May!AM98+Jun!AM98+Jul!AM98+Aug!AM98+Sep!AM98+Oct!AM98+Nov!AM98+Dec!AM98)</f>
        <v/>
      </c>
      <c r="J125" s="70">
        <f>IF($A125="","",Jan!AN98+Feb!AN98+Mar!AN98+Apr!AN98+May!AN98+Jun!AN98+Jul!AN98+Aug!AN98+Sep!AN98+Oct!AN98+Nov!AN98+Dec!AN98)</f>
        <v/>
      </c>
      <c r="K125" s="70">
        <f>IF($A125="","",Jan!AO98+Feb!AO98+Mar!AO98+Apr!AO98+May!AO98+Jun!AO98+Jul!AO98+Aug!AO98+Sep!AO98+Oct!AO98+Nov!AO98+Dec!AO98)</f>
        <v/>
      </c>
      <c r="L125" s="70">
        <f>IF($A125="","",Jan!AP98+Feb!AP98+Mar!AP98+Apr!AP98+May!AP98+Jun!AP98+Jul!AP98+Aug!AP98+Sep!AP98+Oct!AP98+Nov!AP98+Dec!AP98)</f>
        <v/>
      </c>
      <c r="M125" s="90">
        <f>IF(OR($A125="",$D125=0),"",$E125/$D125)</f>
        <v/>
      </c>
      <c r="N125" s="90">
        <f>IF(OR($A125="",$D125=0),"",($E125+$F125)/$D125)</f>
        <v/>
      </c>
      <c r="O125" s="70">
        <f>IF($A125="","",IF(Jan!AU98="",0,IF(Jan!AU98&lt;&gt;"OK",1,0))+IF(Feb!AU98="",0,IF(Feb!AU98&lt;&gt;"OK",1,0))+IF(Mar!AU98="",0,IF(Mar!AU98&lt;&gt;"OK",1,0))+IF(Apr!AU98="",0,IF(Apr!AU98&lt;&gt;"OK",1,0))+IF(May!AU98="",0,IF(May!AU98&lt;&gt;"OK",1,0))+IF(Jun!AU98="",0,IF(Jun!AU98&lt;&gt;"OK",1,0))+IF(Jul!AU98="",0,IF(Jul!AU98&lt;&gt;"OK",1,0))+IF(Aug!AU98="",0,IF(Aug!AU98&lt;&gt;"OK",1,0))+IF(Sep!AU98="",0,IF(Sep!AU98&lt;&gt;"OK",1,0))+IF(Oct!AU98="",0,IF(Oct!AU98&lt;&gt;"OK",1,0))+IF(Nov!AU98="",0,IF(Nov!AU98&lt;&gt;"OK",1,0))+IF(Dec!AU98="",0,IF(Dec!AU98&lt;&gt;"OK",1,0)))</f>
        <v/>
      </c>
      <c r="P125" s="70">
        <f>IF($A125="","",IF(OR(Jan!AU98="CRITICAL",Feb!AU98="CRITICAL",Mar!AU98="CRITICAL",Apr!AU98="CRITICAL",May!AU98="CRITICAL",Jun!AU98="CRITICAL",Jul!AU98="CRITICAL",Aug!AU98="CRITICAL",Sep!AU98="CRITICAL",Oct!AU98="CRITICAL",Nov!AU98="CRITICAL",Dec!AU98="CRITICAL",$G125&gt;=2),"CRITICAL",IF(OR($G125&gt;0,$O125&gt;0,$N125&lt;0.95),"REVIEW","OK")))</f>
        <v/>
      </c>
    </row>
    <row r="126" ht="14.45" customHeight="1" s="57">
      <c r="A126" s="70">
        <f>IF('Employee Master'!A99="","",'Employee Master'!A99)</f>
        <v/>
      </c>
      <c r="B126" s="63">
        <f>IF($A126="","",'Employee Master'!B99)</f>
        <v/>
      </c>
      <c r="C126" s="70">
        <f>IF($A126="","",'Employee Master'!C99)</f>
        <v/>
      </c>
      <c r="D126" s="70">
        <f>IF($A126="","",$B$5)</f>
        <v/>
      </c>
      <c r="E126" s="70">
        <f>IF($A126="","",Jan!AI99+Feb!AI99+Mar!AI99+Apr!AI99+May!AI99+Jun!AI99+Jul!AI99+Aug!AI99+Sep!AI99+Oct!AI99+Nov!AI99+Dec!AI99)</f>
        <v/>
      </c>
      <c r="F126" s="70">
        <f>IF($A126="","",Jan!AJ99+Feb!AJ99+Mar!AJ99+Apr!AJ99+May!AJ99+Jun!AJ99+Jul!AJ99+Aug!AJ99+Sep!AJ99+Oct!AJ99+Nov!AJ99+Dec!AJ99)</f>
        <v/>
      </c>
      <c r="G126" s="70">
        <f>IF($A126="","",Jan!AK99+Feb!AK99+Mar!AK99+Apr!AK99+May!AK99+Jun!AK99+Jul!AK99+Aug!AK99+Sep!AK99+Oct!AK99+Nov!AK99+Dec!AK99)</f>
        <v/>
      </c>
      <c r="H126" s="70">
        <f>IF($A126="","",Jan!AL99+Feb!AL99+Mar!AL99+Apr!AL99+May!AL99+Jun!AL99+Jul!AL99+Aug!AL99+Sep!AL99+Oct!AL99+Nov!AL99+Dec!AL99)</f>
        <v/>
      </c>
      <c r="I126" s="70">
        <f>IF($A126="","",Jan!AM99+Feb!AM99+Mar!AM99+Apr!AM99+May!AM99+Jun!AM99+Jul!AM99+Aug!AM99+Sep!AM99+Oct!AM99+Nov!AM99+Dec!AM99)</f>
        <v/>
      </c>
      <c r="J126" s="70">
        <f>IF($A126="","",Jan!AN99+Feb!AN99+Mar!AN99+Apr!AN99+May!AN99+Jun!AN99+Jul!AN99+Aug!AN99+Sep!AN99+Oct!AN99+Nov!AN99+Dec!AN99)</f>
        <v/>
      </c>
      <c r="K126" s="70">
        <f>IF($A126="","",Jan!AO99+Feb!AO99+Mar!AO99+Apr!AO99+May!AO99+Jun!AO99+Jul!AO99+Aug!AO99+Sep!AO99+Oct!AO99+Nov!AO99+Dec!AO99)</f>
        <v/>
      </c>
      <c r="L126" s="70">
        <f>IF($A126="","",Jan!AP99+Feb!AP99+Mar!AP99+Apr!AP99+May!AP99+Jun!AP99+Jul!AP99+Aug!AP99+Sep!AP99+Oct!AP99+Nov!AP99+Dec!AP99)</f>
        <v/>
      </c>
      <c r="M126" s="90">
        <f>IF(OR($A126="",$D126=0),"",$E126/$D126)</f>
        <v/>
      </c>
      <c r="N126" s="90">
        <f>IF(OR($A126="",$D126=0),"",($E126+$F126)/$D126)</f>
        <v/>
      </c>
      <c r="O126" s="70">
        <f>IF($A126="","",IF(Jan!AU99="",0,IF(Jan!AU99&lt;&gt;"OK",1,0))+IF(Feb!AU99="",0,IF(Feb!AU99&lt;&gt;"OK",1,0))+IF(Mar!AU99="",0,IF(Mar!AU99&lt;&gt;"OK",1,0))+IF(Apr!AU99="",0,IF(Apr!AU99&lt;&gt;"OK",1,0))+IF(May!AU99="",0,IF(May!AU99&lt;&gt;"OK",1,0))+IF(Jun!AU99="",0,IF(Jun!AU99&lt;&gt;"OK",1,0))+IF(Jul!AU99="",0,IF(Jul!AU99&lt;&gt;"OK",1,0))+IF(Aug!AU99="",0,IF(Aug!AU99&lt;&gt;"OK",1,0))+IF(Sep!AU99="",0,IF(Sep!AU99&lt;&gt;"OK",1,0))+IF(Oct!AU99="",0,IF(Oct!AU99&lt;&gt;"OK",1,0))+IF(Nov!AU99="",0,IF(Nov!AU99&lt;&gt;"OK",1,0))+IF(Dec!AU99="",0,IF(Dec!AU99&lt;&gt;"OK",1,0)))</f>
        <v/>
      </c>
      <c r="P126" s="70">
        <f>IF($A126="","",IF(OR(Jan!AU99="CRITICAL",Feb!AU99="CRITICAL",Mar!AU99="CRITICAL",Apr!AU99="CRITICAL",May!AU99="CRITICAL",Jun!AU99="CRITICAL",Jul!AU99="CRITICAL",Aug!AU99="CRITICAL",Sep!AU99="CRITICAL",Oct!AU99="CRITICAL",Nov!AU99="CRITICAL",Dec!AU99="CRITICAL",$G126&gt;=2),"CRITICAL",IF(OR($G126&gt;0,$O126&gt;0,$N126&lt;0.95),"REVIEW","OK")))</f>
        <v/>
      </c>
    </row>
    <row r="127" ht="14.45" customHeight="1" s="57">
      <c r="A127" s="70">
        <f>IF('Employee Master'!A100="","",'Employee Master'!A100)</f>
        <v/>
      </c>
      <c r="B127" s="63">
        <f>IF($A127="","",'Employee Master'!B100)</f>
        <v/>
      </c>
      <c r="C127" s="70">
        <f>IF($A127="","",'Employee Master'!C100)</f>
        <v/>
      </c>
      <c r="D127" s="70">
        <f>IF($A127="","",$B$5)</f>
        <v/>
      </c>
      <c r="E127" s="70">
        <f>IF($A127="","",Jan!AI100+Feb!AI100+Mar!AI100+Apr!AI100+May!AI100+Jun!AI100+Jul!AI100+Aug!AI100+Sep!AI100+Oct!AI100+Nov!AI100+Dec!AI100)</f>
        <v/>
      </c>
      <c r="F127" s="70">
        <f>IF($A127="","",Jan!AJ100+Feb!AJ100+Mar!AJ100+Apr!AJ100+May!AJ100+Jun!AJ100+Jul!AJ100+Aug!AJ100+Sep!AJ100+Oct!AJ100+Nov!AJ100+Dec!AJ100)</f>
        <v/>
      </c>
      <c r="G127" s="70">
        <f>IF($A127="","",Jan!AK100+Feb!AK100+Mar!AK100+Apr!AK100+May!AK100+Jun!AK100+Jul!AK100+Aug!AK100+Sep!AK100+Oct!AK100+Nov!AK100+Dec!AK100)</f>
        <v/>
      </c>
      <c r="H127" s="70">
        <f>IF($A127="","",Jan!AL100+Feb!AL100+Mar!AL100+Apr!AL100+May!AL100+Jun!AL100+Jul!AL100+Aug!AL100+Sep!AL100+Oct!AL100+Nov!AL100+Dec!AL100)</f>
        <v/>
      </c>
      <c r="I127" s="70">
        <f>IF($A127="","",Jan!AM100+Feb!AM100+Mar!AM100+Apr!AM100+May!AM100+Jun!AM100+Jul!AM100+Aug!AM100+Sep!AM100+Oct!AM100+Nov!AM100+Dec!AM100)</f>
        <v/>
      </c>
      <c r="J127" s="70">
        <f>IF($A127="","",Jan!AN100+Feb!AN100+Mar!AN100+Apr!AN100+May!AN100+Jun!AN100+Jul!AN100+Aug!AN100+Sep!AN100+Oct!AN100+Nov!AN100+Dec!AN100)</f>
        <v/>
      </c>
      <c r="K127" s="70">
        <f>IF($A127="","",Jan!AO100+Feb!AO100+Mar!AO100+Apr!AO100+May!AO100+Jun!AO100+Jul!AO100+Aug!AO100+Sep!AO100+Oct!AO100+Nov!AO100+Dec!AO100)</f>
        <v/>
      </c>
      <c r="L127" s="70">
        <f>IF($A127="","",Jan!AP100+Feb!AP100+Mar!AP100+Apr!AP100+May!AP100+Jun!AP100+Jul!AP100+Aug!AP100+Sep!AP100+Oct!AP100+Nov!AP100+Dec!AP100)</f>
        <v/>
      </c>
      <c r="M127" s="90">
        <f>IF(OR($A127="",$D127=0),"",$E127/$D127)</f>
        <v/>
      </c>
      <c r="N127" s="90">
        <f>IF(OR($A127="",$D127=0),"",($E127+$F127)/$D127)</f>
        <v/>
      </c>
      <c r="O127" s="70">
        <f>IF($A127="","",IF(Jan!AU100="",0,IF(Jan!AU100&lt;&gt;"OK",1,0))+IF(Feb!AU100="",0,IF(Feb!AU100&lt;&gt;"OK",1,0))+IF(Mar!AU100="",0,IF(Mar!AU100&lt;&gt;"OK",1,0))+IF(Apr!AU100="",0,IF(Apr!AU100&lt;&gt;"OK",1,0))+IF(May!AU100="",0,IF(May!AU100&lt;&gt;"OK",1,0))+IF(Jun!AU100="",0,IF(Jun!AU100&lt;&gt;"OK",1,0))+IF(Jul!AU100="",0,IF(Jul!AU100&lt;&gt;"OK",1,0))+IF(Aug!AU100="",0,IF(Aug!AU100&lt;&gt;"OK",1,0))+IF(Sep!AU100="",0,IF(Sep!AU100&lt;&gt;"OK",1,0))+IF(Oct!AU100="",0,IF(Oct!AU100&lt;&gt;"OK",1,0))+IF(Nov!AU100="",0,IF(Nov!AU100&lt;&gt;"OK",1,0))+IF(Dec!AU100="",0,IF(Dec!AU100&lt;&gt;"OK",1,0)))</f>
        <v/>
      </c>
      <c r="P127" s="70">
        <f>IF($A127="","",IF(OR(Jan!AU100="CRITICAL",Feb!AU100="CRITICAL",Mar!AU100="CRITICAL",Apr!AU100="CRITICAL",May!AU100="CRITICAL",Jun!AU100="CRITICAL",Jul!AU100="CRITICAL",Aug!AU100="CRITICAL",Sep!AU100="CRITICAL",Oct!AU100="CRITICAL",Nov!AU100="CRITICAL",Dec!AU100="CRITICAL",$G127&gt;=2),"CRITICAL",IF(OR($G127&gt;0,$O127&gt;0,$N127&lt;0.95),"REVIEW","OK")))</f>
        <v/>
      </c>
    </row>
    <row r="128" ht="14.45" customHeight="1" s="57">
      <c r="A128" s="70">
        <f>IF('Employee Master'!A101="","",'Employee Master'!A101)</f>
        <v/>
      </c>
      <c r="B128" s="63">
        <f>IF($A128="","",'Employee Master'!B101)</f>
        <v/>
      </c>
      <c r="C128" s="70">
        <f>IF($A128="","",'Employee Master'!C101)</f>
        <v/>
      </c>
      <c r="D128" s="70">
        <f>IF($A128="","",$B$5)</f>
        <v/>
      </c>
      <c r="E128" s="70">
        <f>IF($A128="","",Jan!AI101+Feb!AI101+Mar!AI101+Apr!AI101+May!AI101+Jun!AI101+Jul!AI101+Aug!AI101+Sep!AI101+Oct!AI101+Nov!AI101+Dec!AI101)</f>
        <v/>
      </c>
      <c r="F128" s="70">
        <f>IF($A128="","",Jan!AJ101+Feb!AJ101+Mar!AJ101+Apr!AJ101+May!AJ101+Jun!AJ101+Jul!AJ101+Aug!AJ101+Sep!AJ101+Oct!AJ101+Nov!AJ101+Dec!AJ101)</f>
        <v/>
      </c>
      <c r="G128" s="70">
        <f>IF($A128="","",Jan!AK101+Feb!AK101+Mar!AK101+Apr!AK101+May!AK101+Jun!AK101+Jul!AK101+Aug!AK101+Sep!AK101+Oct!AK101+Nov!AK101+Dec!AK101)</f>
        <v/>
      </c>
      <c r="H128" s="70">
        <f>IF($A128="","",Jan!AL101+Feb!AL101+Mar!AL101+Apr!AL101+May!AL101+Jun!AL101+Jul!AL101+Aug!AL101+Sep!AL101+Oct!AL101+Nov!AL101+Dec!AL101)</f>
        <v/>
      </c>
      <c r="I128" s="70">
        <f>IF($A128="","",Jan!AM101+Feb!AM101+Mar!AM101+Apr!AM101+May!AM101+Jun!AM101+Jul!AM101+Aug!AM101+Sep!AM101+Oct!AM101+Nov!AM101+Dec!AM101)</f>
        <v/>
      </c>
      <c r="J128" s="70">
        <f>IF($A128="","",Jan!AN101+Feb!AN101+Mar!AN101+Apr!AN101+May!AN101+Jun!AN101+Jul!AN101+Aug!AN101+Sep!AN101+Oct!AN101+Nov!AN101+Dec!AN101)</f>
        <v/>
      </c>
      <c r="K128" s="70">
        <f>IF($A128="","",Jan!AO101+Feb!AO101+Mar!AO101+Apr!AO101+May!AO101+Jun!AO101+Jul!AO101+Aug!AO101+Sep!AO101+Oct!AO101+Nov!AO101+Dec!AO101)</f>
        <v/>
      </c>
      <c r="L128" s="70">
        <f>IF($A128="","",Jan!AP101+Feb!AP101+Mar!AP101+Apr!AP101+May!AP101+Jun!AP101+Jul!AP101+Aug!AP101+Sep!AP101+Oct!AP101+Nov!AP101+Dec!AP101)</f>
        <v/>
      </c>
      <c r="M128" s="90">
        <f>IF(OR($A128="",$D128=0),"",$E128/$D128)</f>
        <v/>
      </c>
      <c r="N128" s="90">
        <f>IF(OR($A128="",$D128=0),"",($E128+$F128)/$D128)</f>
        <v/>
      </c>
      <c r="O128" s="70">
        <f>IF($A128="","",IF(Jan!AU101="",0,IF(Jan!AU101&lt;&gt;"OK",1,0))+IF(Feb!AU101="",0,IF(Feb!AU101&lt;&gt;"OK",1,0))+IF(Mar!AU101="",0,IF(Mar!AU101&lt;&gt;"OK",1,0))+IF(Apr!AU101="",0,IF(Apr!AU101&lt;&gt;"OK",1,0))+IF(May!AU101="",0,IF(May!AU101&lt;&gt;"OK",1,0))+IF(Jun!AU101="",0,IF(Jun!AU101&lt;&gt;"OK",1,0))+IF(Jul!AU101="",0,IF(Jul!AU101&lt;&gt;"OK",1,0))+IF(Aug!AU101="",0,IF(Aug!AU101&lt;&gt;"OK",1,0))+IF(Sep!AU101="",0,IF(Sep!AU101&lt;&gt;"OK",1,0))+IF(Oct!AU101="",0,IF(Oct!AU101&lt;&gt;"OK",1,0))+IF(Nov!AU101="",0,IF(Nov!AU101&lt;&gt;"OK",1,0))+IF(Dec!AU101="",0,IF(Dec!AU101&lt;&gt;"OK",1,0)))</f>
        <v/>
      </c>
      <c r="P128" s="70">
        <f>IF($A128="","",IF(OR(Jan!AU101="CRITICAL",Feb!AU101="CRITICAL",Mar!AU101="CRITICAL",Apr!AU101="CRITICAL",May!AU101="CRITICAL",Jun!AU101="CRITICAL",Jul!AU101="CRITICAL",Aug!AU101="CRITICAL",Sep!AU101="CRITICAL",Oct!AU101="CRITICAL",Nov!AU101="CRITICAL",Dec!AU101="CRITICAL",$G128&gt;=2),"CRITICAL",IF(OR($G128&gt;0,$O128&gt;0,$N128&lt;0.95),"REVIEW","OK")))</f>
        <v/>
      </c>
    </row>
    <row r="129" ht="14.45" customHeight="1" s="57">
      <c r="A129" s="70">
        <f>IF('Employee Master'!A102="","",'Employee Master'!A102)</f>
        <v/>
      </c>
      <c r="B129" s="63">
        <f>IF($A129="","",'Employee Master'!B102)</f>
        <v/>
      </c>
      <c r="C129" s="70">
        <f>IF($A129="","",'Employee Master'!C102)</f>
        <v/>
      </c>
      <c r="D129" s="70">
        <f>IF($A129="","",$B$5)</f>
        <v/>
      </c>
      <c r="E129" s="70">
        <f>IF($A129="","",Jan!AI102+Feb!AI102+Mar!AI102+Apr!AI102+May!AI102+Jun!AI102+Jul!AI102+Aug!AI102+Sep!AI102+Oct!AI102+Nov!AI102+Dec!AI102)</f>
        <v/>
      </c>
      <c r="F129" s="70">
        <f>IF($A129="","",Jan!AJ102+Feb!AJ102+Mar!AJ102+Apr!AJ102+May!AJ102+Jun!AJ102+Jul!AJ102+Aug!AJ102+Sep!AJ102+Oct!AJ102+Nov!AJ102+Dec!AJ102)</f>
        <v/>
      </c>
      <c r="G129" s="70">
        <f>IF($A129="","",Jan!AK102+Feb!AK102+Mar!AK102+Apr!AK102+May!AK102+Jun!AK102+Jul!AK102+Aug!AK102+Sep!AK102+Oct!AK102+Nov!AK102+Dec!AK102)</f>
        <v/>
      </c>
      <c r="H129" s="70">
        <f>IF($A129="","",Jan!AL102+Feb!AL102+Mar!AL102+Apr!AL102+May!AL102+Jun!AL102+Jul!AL102+Aug!AL102+Sep!AL102+Oct!AL102+Nov!AL102+Dec!AL102)</f>
        <v/>
      </c>
      <c r="I129" s="70">
        <f>IF($A129="","",Jan!AM102+Feb!AM102+Mar!AM102+Apr!AM102+May!AM102+Jun!AM102+Jul!AM102+Aug!AM102+Sep!AM102+Oct!AM102+Nov!AM102+Dec!AM102)</f>
        <v/>
      </c>
      <c r="J129" s="70">
        <f>IF($A129="","",Jan!AN102+Feb!AN102+Mar!AN102+Apr!AN102+May!AN102+Jun!AN102+Jul!AN102+Aug!AN102+Sep!AN102+Oct!AN102+Nov!AN102+Dec!AN102)</f>
        <v/>
      </c>
      <c r="K129" s="70">
        <f>IF($A129="","",Jan!AO102+Feb!AO102+Mar!AO102+Apr!AO102+May!AO102+Jun!AO102+Jul!AO102+Aug!AO102+Sep!AO102+Oct!AO102+Nov!AO102+Dec!AO102)</f>
        <v/>
      </c>
      <c r="L129" s="70">
        <f>IF($A129="","",Jan!AP102+Feb!AP102+Mar!AP102+Apr!AP102+May!AP102+Jun!AP102+Jul!AP102+Aug!AP102+Sep!AP102+Oct!AP102+Nov!AP102+Dec!AP102)</f>
        <v/>
      </c>
      <c r="M129" s="90">
        <f>IF(OR($A129="",$D129=0),"",$E129/$D129)</f>
        <v/>
      </c>
      <c r="N129" s="90">
        <f>IF(OR($A129="",$D129=0),"",($E129+$F129)/$D129)</f>
        <v/>
      </c>
      <c r="O129" s="70">
        <f>IF($A129="","",IF(Jan!AU102="",0,IF(Jan!AU102&lt;&gt;"OK",1,0))+IF(Feb!AU102="",0,IF(Feb!AU102&lt;&gt;"OK",1,0))+IF(Mar!AU102="",0,IF(Mar!AU102&lt;&gt;"OK",1,0))+IF(Apr!AU102="",0,IF(Apr!AU102&lt;&gt;"OK",1,0))+IF(May!AU102="",0,IF(May!AU102&lt;&gt;"OK",1,0))+IF(Jun!AU102="",0,IF(Jun!AU102&lt;&gt;"OK",1,0))+IF(Jul!AU102="",0,IF(Jul!AU102&lt;&gt;"OK",1,0))+IF(Aug!AU102="",0,IF(Aug!AU102&lt;&gt;"OK",1,0))+IF(Sep!AU102="",0,IF(Sep!AU102&lt;&gt;"OK",1,0))+IF(Oct!AU102="",0,IF(Oct!AU102&lt;&gt;"OK",1,0))+IF(Nov!AU102="",0,IF(Nov!AU102&lt;&gt;"OK",1,0))+IF(Dec!AU102="",0,IF(Dec!AU102&lt;&gt;"OK",1,0)))</f>
        <v/>
      </c>
      <c r="P129" s="70">
        <f>IF($A129="","",IF(OR(Jan!AU102="CRITICAL",Feb!AU102="CRITICAL",Mar!AU102="CRITICAL",Apr!AU102="CRITICAL",May!AU102="CRITICAL",Jun!AU102="CRITICAL",Jul!AU102="CRITICAL",Aug!AU102="CRITICAL",Sep!AU102="CRITICAL",Oct!AU102="CRITICAL",Nov!AU102="CRITICAL",Dec!AU102="CRITICAL",$G129&gt;=2),"CRITICAL",IF(OR($G129&gt;0,$O129&gt;0,$N129&lt;0.95),"REVIEW","OK")))</f>
        <v/>
      </c>
    </row>
    <row r="130" ht="14.45" customHeight="1" s="57">
      <c r="A130" s="70">
        <f>IF('Employee Master'!A103="","",'Employee Master'!A103)</f>
        <v/>
      </c>
      <c r="B130" s="63">
        <f>IF($A130="","",'Employee Master'!B103)</f>
        <v/>
      </c>
      <c r="C130" s="70">
        <f>IF($A130="","",'Employee Master'!C103)</f>
        <v/>
      </c>
      <c r="D130" s="70">
        <f>IF($A130="","",$B$5)</f>
        <v/>
      </c>
      <c r="E130" s="70">
        <f>IF($A130="","",Jan!AI103+Feb!AI103+Mar!AI103+Apr!AI103+May!AI103+Jun!AI103+Jul!AI103+Aug!AI103+Sep!AI103+Oct!AI103+Nov!AI103+Dec!AI103)</f>
        <v/>
      </c>
      <c r="F130" s="70">
        <f>IF($A130="","",Jan!AJ103+Feb!AJ103+Mar!AJ103+Apr!AJ103+May!AJ103+Jun!AJ103+Jul!AJ103+Aug!AJ103+Sep!AJ103+Oct!AJ103+Nov!AJ103+Dec!AJ103)</f>
        <v/>
      </c>
      <c r="G130" s="70">
        <f>IF($A130="","",Jan!AK103+Feb!AK103+Mar!AK103+Apr!AK103+May!AK103+Jun!AK103+Jul!AK103+Aug!AK103+Sep!AK103+Oct!AK103+Nov!AK103+Dec!AK103)</f>
        <v/>
      </c>
      <c r="H130" s="70">
        <f>IF($A130="","",Jan!AL103+Feb!AL103+Mar!AL103+Apr!AL103+May!AL103+Jun!AL103+Jul!AL103+Aug!AL103+Sep!AL103+Oct!AL103+Nov!AL103+Dec!AL103)</f>
        <v/>
      </c>
      <c r="I130" s="70">
        <f>IF($A130="","",Jan!AM103+Feb!AM103+Mar!AM103+Apr!AM103+May!AM103+Jun!AM103+Jul!AM103+Aug!AM103+Sep!AM103+Oct!AM103+Nov!AM103+Dec!AM103)</f>
        <v/>
      </c>
      <c r="J130" s="70">
        <f>IF($A130="","",Jan!AN103+Feb!AN103+Mar!AN103+Apr!AN103+May!AN103+Jun!AN103+Jul!AN103+Aug!AN103+Sep!AN103+Oct!AN103+Nov!AN103+Dec!AN103)</f>
        <v/>
      </c>
      <c r="K130" s="70">
        <f>IF($A130="","",Jan!AO103+Feb!AO103+Mar!AO103+Apr!AO103+May!AO103+Jun!AO103+Jul!AO103+Aug!AO103+Sep!AO103+Oct!AO103+Nov!AO103+Dec!AO103)</f>
        <v/>
      </c>
      <c r="L130" s="70">
        <f>IF($A130="","",Jan!AP103+Feb!AP103+Mar!AP103+Apr!AP103+May!AP103+Jun!AP103+Jul!AP103+Aug!AP103+Sep!AP103+Oct!AP103+Nov!AP103+Dec!AP103)</f>
        <v/>
      </c>
      <c r="M130" s="90">
        <f>IF(OR($A130="",$D130=0),"",$E130/$D130)</f>
        <v/>
      </c>
      <c r="N130" s="90">
        <f>IF(OR($A130="",$D130=0),"",($E130+$F130)/$D130)</f>
        <v/>
      </c>
      <c r="O130" s="70">
        <f>IF($A130="","",IF(Jan!AU103="",0,IF(Jan!AU103&lt;&gt;"OK",1,0))+IF(Feb!AU103="",0,IF(Feb!AU103&lt;&gt;"OK",1,0))+IF(Mar!AU103="",0,IF(Mar!AU103&lt;&gt;"OK",1,0))+IF(Apr!AU103="",0,IF(Apr!AU103&lt;&gt;"OK",1,0))+IF(May!AU103="",0,IF(May!AU103&lt;&gt;"OK",1,0))+IF(Jun!AU103="",0,IF(Jun!AU103&lt;&gt;"OK",1,0))+IF(Jul!AU103="",0,IF(Jul!AU103&lt;&gt;"OK",1,0))+IF(Aug!AU103="",0,IF(Aug!AU103&lt;&gt;"OK",1,0))+IF(Sep!AU103="",0,IF(Sep!AU103&lt;&gt;"OK",1,0))+IF(Oct!AU103="",0,IF(Oct!AU103&lt;&gt;"OK",1,0))+IF(Nov!AU103="",0,IF(Nov!AU103&lt;&gt;"OK",1,0))+IF(Dec!AU103="",0,IF(Dec!AU103&lt;&gt;"OK",1,0)))</f>
        <v/>
      </c>
      <c r="P130" s="70">
        <f>IF($A130="","",IF(OR(Jan!AU103="CRITICAL",Feb!AU103="CRITICAL",Mar!AU103="CRITICAL",Apr!AU103="CRITICAL",May!AU103="CRITICAL",Jun!AU103="CRITICAL",Jul!AU103="CRITICAL",Aug!AU103="CRITICAL",Sep!AU103="CRITICAL",Oct!AU103="CRITICAL",Nov!AU103="CRITICAL",Dec!AU103="CRITICAL",$G130&gt;=2),"CRITICAL",IF(OR($G130&gt;0,$O130&gt;0,$N130&lt;0.95),"REVIEW","OK")))</f>
        <v/>
      </c>
    </row>
    <row r="131" ht="14.45" customHeight="1" s="57">
      <c r="A131" s="70">
        <f>IF('Employee Master'!A104="","",'Employee Master'!A104)</f>
        <v/>
      </c>
      <c r="B131" s="63">
        <f>IF($A131="","",'Employee Master'!B104)</f>
        <v/>
      </c>
      <c r="C131" s="70">
        <f>IF($A131="","",'Employee Master'!C104)</f>
        <v/>
      </c>
      <c r="D131" s="70">
        <f>IF($A131="","",$B$5)</f>
        <v/>
      </c>
      <c r="E131" s="70">
        <f>IF($A131="","",Jan!AI104+Feb!AI104+Mar!AI104+Apr!AI104+May!AI104+Jun!AI104+Jul!AI104+Aug!AI104+Sep!AI104+Oct!AI104+Nov!AI104+Dec!AI104)</f>
        <v/>
      </c>
      <c r="F131" s="70">
        <f>IF($A131="","",Jan!AJ104+Feb!AJ104+Mar!AJ104+Apr!AJ104+May!AJ104+Jun!AJ104+Jul!AJ104+Aug!AJ104+Sep!AJ104+Oct!AJ104+Nov!AJ104+Dec!AJ104)</f>
        <v/>
      </c>
      <c r="G131" s="70">
        <f>IF($A131="","",Jan!AK104+Feb!AK104+Mar!AK104+Apr!AK104+May!AK104+Jun!AK104+Jul!AK104+Aug!AK104+Sep!AK104+Oct!AK104+Nov!AK104+Dec!AK104)</f>
        <v/>
      </c>
      <c r="H131" s="70">
        <f>IF($A131="","",Jan!AL104+Feb!AL104+Mar!AL104+Apr!AL104+May!AL104+Jun!AL104+Jul!AL104+Aug!AL104+Sep!AL104+Oct!AL104+Nov!AL104+Dec!AL104)</f>
        <v/>
      </c>
      <c r="I131" s="70">
        <f>IF($A131="","",Jan!AM104+Feb!AM104+Mar!AM104+Apr!AM104+May!AM104+Jun!AM104+Jul!AM104+Aug!AM104+Sep!AM104+Oct!AM104+Nov!AM104+Dec!AM104)</f>
        <v/>
      </c>
      <c r="J131" s="70">
        <f>IF($A131="","",Jan!AN104+Feb!AN104+Mar!AN104+Apr!AN104+May!AN104+Jun!AN104+Jul!AN104+Aug!AN104+Sep!AN104+Oct!AN104+Nov!AN104+Dec!AN104)</f>
        <v/>
      </c>
      <c r="K131" s="70">
        <f>IF($A131="","",Jan!AO104+Feb!AO104+Mar!AO104+Apr!AO104+May!AO104+Jun!AO104+Jul!AO104+Aug!AO104+Sep!AO104+Oct!AO104+Nov!AO104+Dec!AO104)</f>
        <v/>
      </c>
      <c r="L131" s="70">
        <f>IF($A131="","",Jan!AP104+Feb!AP104+Mar!AP104+Apr!AP104+May!AP104+Jun!AP104+Jul!AP104+Aug!AP104+Sep!AP104+Oct!AP104+Nov!AP104+Dec!AP104)</f>
        <v/>
      </c>
      <c r="M131" s="90">
        <f>IF(OR($A131="",$D131=0),"",$E131/$D131)</f>
        <v/>
      </c>
      <c r="N131" s="90">
        <f>IF(OR($A131="",$D131=0),"",($E131+$F131)/$D131)</f>
        <v/>
      </c>
      <c r="O131" s="70">
        <f>IF($A131="","",IF(Jan!AU104="",0,IF(Jan!AU104&lt;&gt;"OK",1,0))+IF(Feb!AU104="",0,IF(Feb!AU104&lt;&gt;"OK",1,0))+IF(Mar!AU104="",0,IF(Mar!AU104&lt;&gt;"OK",1,0))+IF(Apr!AU104="",0,IF(Apr!AU104&lt;&gt;"OK",1,0))+IF(May!AU104="",0,IF(May!AU104&lt;&gt;"OK",1,0))+IF(Jun!AU104="",0,IF(Jun!AU104&lt;&gt;"OK",1,0))+IF(Jul!AU104="",0,IF(Jul!AU104&lt;&gt;"OK",1,0))+IF(Aug!AU104="",0,IF(Aug!AU104&lt;&gt;"OK",1,0))+IF(Sep!AU104="",0,IF(Sep!AU104&lt;&gt;"OK",1,0))+IF(Oct!AU104="",0,IF(Oct!AU104&lt;&gt;"OK",1,0))+IF(Nov!AU104="",0,IF(Nov!AU104&lt;&gt;"OK",1,0))+IF(Dec!AU104="",0,IF(Dec!AU104&lt;&gt;"OK",1,0)))</f>
        <v/>
      </c>
      <c r="P131" s="70">
        <f>IF($A131="","",IF(OR(Jan!AU104="CRITICAL",Feb!AU104="CRITICAL",Mar!AU104="CRITICAL",Apr!AU104="CRITICAL",May!AU104="CRITICAL",Jun!AU104="CRITICAL",Jul!AU104="CRITICAL",Aug!AU104="CRITICAL",Sep!AU104="CRITICAL",Oct!AU104="CRITICAL",Nov!AU104="CRITICAL",Dec!AU104="CRITICAL",$G131&gt;=2),"CRITICAL",IF(OR($G131&gt;0,$O131&gt;0,$N131&lt;0.95),"REVIEW","OK")))</f>
        <v/>
      </c>
    </row>
    <row r="132" ht="14.45" customHeight="1" s="57">
      <c r="A132" s="70">
        <f>IF('Employee Master'!A105="","",'Employee Master'!A105)</f>
        <v/>
      </c>
      <c r="B132" s="63">
        <f>IF($A132="","",'Employee Master'!B105)</f>
        <v/>
      </c>
      <c r="C132" s="70">
        <f>IF($A132="","",'Employee Master'!C105)</f>
        <v/>
      </c>
      <c r="D132" s="70">
        <f>IF($A132="","",$B$5)</f>
        <v/>
      </c>
      <c r="E132" s="70">
        <f>IF($A132="","",Jan!AI105+Feb!AI105+Mar!AI105+Apr!AI105+May!AI105+Jun!AI105+Jul!AI105+Aug!AI105+Sep!AI105+Oct!AI105+Nov!AI105+Dec!AI105)</f>
        <v/>
      </c>
      <c r="F132" s="70">
        <f>IF($A132="","",Jan!AJ105+Feb!AJ105+Mar!AJ105+Apr!AJ105+May!AJ105+Jun!AJ105+Jul!AJ105+Aug!AJ105+Sep!AJ105+Oct!AJ105+Nov!AJ105+Dec!AJ105)</f>
        <v/>
      </c>
      <c r="G132" s="70">
        <f>IF($A132="","",Jan!AK105+Feb!AK105+Mar!AK105+Apr!AK105+May!AK105+Jun!AK105+Jul!AK105+Aug!AK105+Sep!AK105+Oct!AK105+Nov!AK105+Dec!AK105)</f>
        <v/>
      </c>
      <c r="H132" s="70">
        <f>IF($A132="","",Jan!AL105+Feb!AL105+Mar!AL105+Apr!AL105+May!AL105+Jun!AL105+Jul!AL105+Aug!AL105+Sep!AL105+Oct!AL105+Nov!AL105+Dec!AL105)</f>
        <v/>
      </c>
      <c r="I132" s="70">
        <f>IF($A132="","",Jan!AM105+Feb!AM105+Mar!AM105+Apr!AM105+May!AM105+Jun!AM105+Jul!AM105+Aug!AM105+Sep!AM105+Oct!AM105+Nov!AM105+Dec!AM105)</f>
        <v/>
      </c>
      <c r="J132" s="70">
        <f>IF($A132="","",Jan!AN105+Feb!AN105+Mar!AN105+Apr!AN105+May!AN105+Jun!AN105+Jul!AN105+Aug!AN105+Sep!AN105+Oct!AN105+Nov!AN105+Dec!AN105)</f>
        <v/>
      </c>
      <c r="K132" s="70">
        <f>IF($A132="","",Jan!AO105+Feb!AO105+Mar!AO105+Apr!AO105+May!AO105+Jun!AO105+Jul!AO105+Aug!AO105+Sep!AO105+Oct!AO105+Nov!AO105+Dec!AO105)</f>
        <v/>
      </c>
      <c r="L132" s="70">
        <f>IF($A132="","",Jan!AP105+Feb!AP105+Mar!AP105+Apr!AP105+May!AP105+Jun!AP105+Jul!AP105+Aug!AP105+Sep!AP105+Oct!AP105+Nov!AP105+Dec!AP105)</f>
        <v/>
      </c>
      <c r="M132" s="90">
        <f>IF(OR($A132="",$D132=0),"",$E132/$D132)</f>
        <v/>
      </c>
      <c r="N132" s="90">
        <f>IF(OR($A132="",$D132=0),"",($E132+$F132)/$D132)</f>
        <v/>
      </c>
      <c r="O132" s="70">
        <f>IF($A132="","",IF(Jan!AU105="",0,IF(Jan!AU105&lt;&gt;"OK",1,0))+IF(Feb!AU105="",0,IF(Feb!AU105&lt;&gt;"OK",1,0))+IF(Mar!AU105="",0,IF(Mar!AU105&lt;&gt;"OK",1,0))+IF(Apr!AU105="",0,IF(Apr!AU105&lt;&gt;"OK",1,0))+IF(May!AU105="",0,IF(May!AU105&lt;&gt;"OK",1,0))+IF(Jun!AU105="",0,IF(Jun!AU105&lt;&gt;"OK",1,0))+IF(Jul!AU105="",0,IF(Jul!AU105&lt;&gt;"OK",1,0))+IF(Aug!AU105="",0,IF(Aug!AU105&lt;&gt;"OK",1,0))+IF(Sep!AU105="",0,IF(Sep!AU105&lt;&gt;"OK",1,0))+IF(Oct!AU105="",0,IF(Oct!AU105&lt;&gt;"OK",1,0))+IF(Nov!AU105="",0,IF(Nov!AU105&lt;&gt;"OK",1,0))+IF(Dec!AU105="",0,IF(Dec!AU105&lt;&gt;"OK",1,0)))</f>
        <v/>
      </c>
      <c r="P132" s="70">
        <f>IF($A132="","",IF(OR(Jan!AU105="CRITICAL",Feb!AU105="CRITICAL",Mar!AU105="CRITICAL",Apr!AU105="CRITICAL",May!AU105="CRITICAL",Jun!AU105="CRITICAL",Jul!AU105="CRITICAL",Aug!AU105="CRITICAL",Sep!AU105="CRITICAL",Oct!AU105="CRITICAL",Nov!AU105="CRITICAL",Dec!AU105="CRITICAL",$G132&gt;=2),"CRITICAL",IF(OR($G132&gt;0,$O132&gt;0,$N132&lt;0.95),"REVIEW","OK")))</f>
        <v/>
      </c>
    </row>
    <row r="133" ht="14.45" customHeight="1" s="57">
      <c r="A133" s="70">
        <f>IF('Employee Master'!A106="","",'Employee Master'!A106)</f>
        <v/>
      </c>
      <c r="B133" s="63">
        <f>IF($A133="","",'Employee Master'!B106)</f>
        <v/>
      </c>
      <c r="C133" s="70">
        <f>IF($A133="","",'Employee Master'!C106)</f>
        <v/>
      </c>
      <c r="D133" s="70">
        <f>IF($A133="","",$B$5)</f>
        <v/>
      </c>
      <c r="E133" s="70">
        <f>IF($A133="","",Jan!AI106+Feb!AI106+Mar!AI106+Apr!AI106+May!AI106+Jun!AI106+Jul!AI106+Aug!AI106+Sep!AI106+Oct!AI106+Nov!AI106+Dec!AI106)</f>
        <v/>
      </c>
      <c r="F133" s="70">
        <f>IF($A133="","",Jan!AJ106+Feb!AJ106+Mar!AJ106+Apr!AJ106+May!AJ106+Jun!AJ106+Jul!AJ106+Aug!AJ106+Sep!AJ106+Oct!AJ106+Nov!AJ106+Dec!AJ106)</f>
        <v/>
      </c>
      <c r="G133" s="70">
        <f>IF($A133="","",Jan!AK106+Feb!AK106+Mar!AK106+Apr!AK106+May!AK106+Jun!AK106+Jul!AK106+Aug!AK106+Sep!AK106+Oct!AK106+Nov!AK106+Dec!AK106)</f>
        <v/>
      </c>
      <c r="H133" s="70">
        <f>IF($A133="","",Jan!AL106+Feb!AL106+Mar!AL106+Apr!AL106+May!AL106+Jun!AL106+Jul!AL106+Aug!AL106+Sep!AL106+Oct!AL106+Nov!AL106+Dec!AL106)</f>
        <v/>
      </c>
      <c r="I133" s="70">
        <f>IF($A133="","",Jan!AM106+Feb!AM106+Mar!AM106+Apr!AM106+May!AM106+Jun!AM106+Jul!AM106+Aug!AM106+Sep!AM106+Oct!AM106+Nov!AM106+Dec!AM106)</f>
        <v/>
      </c>
      <c r="J133" s="70">
        <f>IF($A133="","",Jan!AN106+Feb!AN106+Mar!AN106+Apr!AN106+May!AN106+Jun!AN106+Jul!AN106+Aug!AN106+Sep!AN106+Oct!AN106+Nov!AN106+Dec!AN106)</f>
        <v/>
      </c>
      <c r="K133" s="70">
        <f>IF($A133="","",Jan!AO106+Feb!AO106+Mar!AO106+Apr!AO106+May!AO106+Jun!AO106+Jul!AO106+Aug!AO106+Sep!AO106+Oct!AO106+Nov!AO106+Dec!AO106)</f>
        <v/>
      </c>
      <c r="L133" s="70">
        <f>IF($A133="","",Jan!AP106+Feb!AP106+Mar!AP106+Apr!AP106+May!AP106+Jun!AP106+Jul!AP106+Aug!AP106+Sep!AP106+Oct!AP106+Nov!AP106+Dec!AP106)</f>
        <v/>
      </c>
      <c r="M133" s="90">
        <f>IF(OR($A133="",$D133=0),"",$E133/$D133)</f>
        <v/>
      </c>
      <c r="N133" s="90">
        <f>IF(OR($A133="",$D133=0),"",($E133+$F133)/$D133)</f>
        <v/>
      </c>
      <c r="O133" s="70">
        <f>IF($A133="","",IF(Jan!AU106="",0,IF(Jan!AU106&lt;&gt;"OK",1,0))+IF(Feb!AU106="",0,IF(Feb!AU106&lt;&gt;"OK",1,0))+IF(Mar!AU106="",0,IF(Mar!AU106&lt;&gt;"OK",1,0))+IF(Apr!AU106="",0,IF(Apr!AU106&lt;&gt;"OK",1,0))+IF(May!AU106="",0,IF(May!AU106&lt;&gt;"OK",1,0))+IF(Jun!AU106="",0,IF(Jun!AU106&lt;&gt;"OK",1,0))+IF(Jul!AU106="",0,IF(Jul!AU106&lt;&gt;"OK",1,0))+IF(Aug!AU106="",0,IF(Aug!AU106&lt;&gt;"OK",1,0))+IF(Sep!AU106="",0,IF(Sep!AU106&lt;&gt;"OK",1,0))+IF(Oct!AU106="",0,IF(Oct!AU106&lt;&gt;"OK",1,0))+IF(Nov!AU106="",0,IF(Nov!AU106&lt;&gt;"OK",1,0))+IF(Dec!AU106="",0,IF(Dec!AU106&lt;&gt;"OK",1,0)))</f>
        <v/>
      </c>
      <c r="P133" s="70">
        <f>IF($A133="","",IF(OR(Jan!AU106="CRITICAL",Feb!AU106="CRITICAL",Mar!AU106="CRITICAL",Apr!AU106="CRITICAL",May!AU106="CRITICAL",Jun!AU106="CRITICAL",Jul!AU106="CRITICAL",Aug!AU106="CRITICAL",Sep!AU106="CRITICAL",Oct!AU106="CRITICAL",Nov!AU106="CRITICAL",Dec!AU106="CRITICAL",$G133&gt;=2),"CRITICAL",IF(OR($G133&gt;0,$O133&gt;0,$N133&lt;0.95),"REVIEW","OK")))</f>
        <v/>
      </c>
    </row>
    <row r="134" ht="14.45" customHeight="1" s="57">
      <c r="A134" s="70">
        <f>IF('Employee Master'!A107="","",'Employee Master'!A107)</f>
        <v/>
      </c>
      <c r="B134" s="63">
        <f>IF($A134="","",'Employee Master'!B107)</f>
        <v/>
      </c>
      <c r="C134" s="70">
        <f>IF($A134="","",'Employee Master'!C107)</f>
        <v/>
      </c>
      <c r="D134" s="70">
        <f>IF($A134="","",$B$5)</f>
        <v/>
      </c>
      <c r="E134" s="70">
        <f>IF($A134="","",Jan!AI107+Feb!AI107+Mar!AI107+Apr!AI107+May!AI107+Jun!AI107+Jul!AI107+Aug!AI107+Sep!AI107+Oct!AI107+Nov!AI107+Dec!AI107)</f>
        <v/>
      </c>
      <c r="F134" s="70">
        <f>IF($A134="","",Jan!AJ107+Feb!AJ107+Mar!AJ107+Apr!AJ107+May!AJ107+Jun!AJ107+Jul!AJ107+Aug!AJ107+Sep!AJ107+Oct!AJ107+Nov!AJ107+Dec!AJ107)</f>
        <v/>
      </c>
      <c r="G134" s="70">
        <f>IF($A134="","",Jan!AK107+Feb!AK107+Mar!AK107+Apr!AK107+May!AK107+Jun!AK107+Jul!AK107+Aug!AK107+Sep!AK107+Oct!AK107+Nov!AK107+Dec!AK107)</f>
        <v/>
      </c>
      <c r="H134" s="70">
        <f>IF($A134="","",Jan!AL107+Feb!AL107+Mar!AL107+Apr!AL107+May!AL107+Jun!AL107+Jul!AL107+Aug!AL107+Sep!AL107+Oct!AL107+Nov!AL107+Dec!AL107)</f>
        <v/>
      </c>
      <c r="I134" s="70">
        <f>IF($A134="","",Jan!AM107+Feb!AM107+Mar!AM107+Apr!AM107+May!AM107+Jun!AM107+Jul!AM107+Aug!AM107+Sep!AM107+Oct!AM107+Nov!AM107+Dec!AM107)</f>
        <v/>
      </c>
      <c r="J134" s="70">
        <f>IF($A134="","",Jan!AN107+Feb!AN107+Mar!AN107+Apr!AN107+May!AN107+Jun!AN107+Jul!AN107+Aug!AN107+Sep!AN107+Oct!AN107+Nov!AN107+Dec!AN107)</f>
        <v/>
      </c>
      <c r="K134" s="70">
        <f>IF($A134="","",Jan!AO107+Feb!AO107+Mar!AO107+Apr!AO107+May!AO107+Jun!AO107+Jul!AO107+Aug!AO107+Sep!AO107+Oct!AO107+Nov!AO107+Dec!AO107)</f>
        <v/>
      </c>
      <c r="L134" s="70">
        <f>IF($A134="","",Jan!AP107+Feb!AP107+Mar!AP107+Apr!AP107+May!AP107+Jun!AP107+Jul!AP107+Aug!AP107+Sep!AP107+Oct!AP107+Nov!AP107+Dec!AP107)</f>
        <v/>
      </c>
      <c r="M134" s="90">
        <f>IF(OR($A134="",$D134=0),"",$E134/$D134)</f>
        <v/>
      </c>
      <c r="N134" s="90">
        <f>IF(OR($A134="",$D134=0),"",($E134+$F134)/$D134)</f>
        <v/>
      </c>
      <c r="O134" s="70">
        <f>IF($A134="","",IF(Jan!AU107="",0,IF(Jan!AU107&lt;&gt;"OK",1,0))+IF(Feb!AU107="",0,IF(Feb!AU107&lt;&gt;"OK",1,0))+IF(Mar!AU107="",0,IF(Mar!AU107&lt;&gt;"OK",1,0))+IF(Apr!AU107="",0,IF(Apr!AU107&lt;&gt;"OK",1,0))+IF(May!AU107="",0,IF(May!AU107&lt;&gt;"OK",1,0))+IF(Jun!AU107="",0,IF(Jun!AU107&lt;&gt;"OK",1,0))+IF(Jul!AU107="",0,IF(Jul!AU107&lt;&gt;"OK",1,0))+IF(Aug!AU107="",0,IF(Aug!AU107&lt;&gt;"OK",1,0))+IF(Sep!AU107="",0,IF(Sep!AU107&lt;&gt;"OK",1,0))+IF(Oct!AU107="",0,IF(Oct!AU107&lt;&gt;"OK",1,0))+IF(Nov!AU107="",0,IF(Nov!AU107&lt;&gt;"OK",1,0))+IF(Dec!AU107="",0,IF(Dec!AU107&lt;&gt;"OK",1,0)))</f>
        <v/>
      </c>
      <c r="P134" s="70">
        <f>IF($A134="","",IF(OR(Jan!AU107="CRITICAL",Feb!AU107="CRITICAL",Mar!AU107="CRITICAL",Apr!AU107="CRITICAL",May!AU107="CRITICAL",Jun!AU107="CRITICAL",Jul!AU107="CRITICAL",Aug!AU107="CRITICAL",Sep!AU107="CRITICAL",Oct!AU107="CRITICAL",Nov!AU107="CRITICAL",Dec!AU107="CRITICAL",$G134&gt;=2),"CRITICAL",IF(OR($G134&gt;0,$O134&gt;0,$N134&lt;0.95),"REVIEW","OK"))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X2CZ4AwskW7NSeGM1Mxhw==" formatRows="1" sort="1" spinCount="100000" hashValue="jFuybYQfpn6Mv/9hi60JM1cTaup9cEAkegmaHNYgyYD6sBacJewA/uZgddylGi55GTWMFZIhuPJqX9iHlOIHkg=="/>
  <mergeCells count="3">
    <mergeCell ref="A1:P1"/>
    <mergeCell ref="D4:H6"/>
    <mergeCell ref="A33:P33"/>
  </mergeCells>
  <conditionalFormatting sqref="P26:P123">
    <cfRule type="expression" rank="0" priority="2" equalAverage="0" aboveAverage="0" dxfId="0" text="" percent="0" bottom="0">
      <formula>P26="CRITICAL"</formula>
    </cfRule>
    <cfRule type="expression" rank="0" priority="3" equalAverage="0" aboveAverage="0" dxfId="0" text="" percent="0" bottom="0">
      <formula>P26="REVIEW"</formula>
    </cfRule>
    <cfRule type="expression" rank="0" priority="4" equalAverage="0" aboveAverage="0" dxfId="0" text="" percent="0" bottom="0">
      <formula>P26="OK"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3" activeCellId="0" sqref="B3"/>
    </sheetView>
  </sheetViews>
  <sheetFormatPr baseColWidth="8" defaultRowHeight="14.45" zeroHeight="0" outlineLevelRow="0"/>
  <cols>
    <col width="34.71" customWidth="1" style="56" min="1" max="1"/>
    <col width="24" customWidth="1" style="56" min="2" max="2"/>
    <col width="18" customWidth="1" style="56" min="3" max="3"/>
    <col width="24.71" customWidth="1" style="56" min="4" max="4"/>
    <col width="18" customWidth="1" style="56" min="5" max="15"/>
    <col width="8.67" customWidth="1" style="56" min="16" max="1025"/>
  </cols>
  <sheetData>
    <row r="1" ht="29.45" customHeight="1" s="57">
      <c r="A1" s="102" t="inlineStr">
        <is>
          <t>Staff Absence Audit Summary</t>
        </is>
      </c>
    </row>
    <row r="3" ht="22.15" customHeight="1" s="57">
      <c r="A3" s="103" t="inlineStr">
        <is>
          <t>Select Employee ID</t>
        </is>
      </c>
      <c r="B3" s="104" t="inlineStr">
        <is>
          <t>Rebecca Amiede	 Owobu</t>
        </is>
      </c>
      <c r="D3" s="105" t="inlineStr">
        <is>
          <t>Year</t>
        </is>
      </c>
      <c r="E3" s="106">
        <f>'Control Panel'!B3</f>
        <v/>
      </c>
    </row>
    <row r="4" ht="35.45" customHeight="1" s="57">
      <c r="A4" s="103" t="inlineStr">
        <is>
          <t>Employee Name</t>
        </is>
      </c>
      <c r="B4" s="106">
        <f>IF($B$3="","",INDEX('Employee Master'!$B$8:$B$107,MATCH($B$3,'Employee Master'!$A$8:$A$107,0)))</f>
        <v/>
      </c>
      <c r="D4" s="105" t="inlineStr">
        <is>
          <t>Total Calendar Work Days</t>
        </is>
      </c>
      <c r="E4" s="106">
        <f>'Control Panel'!B7</f>
        <v/>
      </c>
    </row>
    <row r="5" ht="34.9" customHeight="1" s="57">
      <c r="A5" s="103" t="inlineStr">
        <is>
          <t>Reported To</t>
        </is>
      </c>
      <c r="B5" s="106">
        <f>IF($B$3="","",INDEX('Employee Master'!$C$8:$C$107,MATCH($B$3,'Employee Master'!$A$8:$A$107,0)))</f>
        <v/>
      </c>
      <c r="D5" s="105" t="inlineStr">
        <is>
          <t>Annual Total Absence Days</t>
        </is>
      </c>
      <c r="E5" s="106">
        <f>SUM(O8:O14)</f>
        <v/>
      </c>
    </row>
    <row r="6" ht="22.15" customHeight="1" s="57"/>
    <row r="7" ht="22.15" customHeight="1" s="57">
      <c r="A7" s="107" t="inlineStr">
        <is>
          <t>Absence Type</t>
        </is>
      </c>
      <c r="B7" s="108" t="inlineStr">
        <is>
          <t>January</t>
        </is>
      </c>
      <c r="C7" s="108" t="inlineStr">
        <is>
          <t>February</t>
        </is>
      </c>
      <c r="D7" s="108" t="inlineStr">
        <is>
          <t>March</t>
        </is>
      </c>
      <c r="E7" s="108" t="inlineStr">
        <is>
          <t>April</t>
        </is>
      </c>
      <c r="F7" s="108" t="inlineStr">
        <is>
          <t>May</t>
        </is>
      </c>
      <c r="G7" s="108" t="inlineStr">
        <is>
          <t>June</t>
        </is>
      </c>
      <c r="H7" s="108" t="inlineStr">
        <is>
          <t>July</t>
        </is>
      </c>
      <c r="I7" s="108" t="inlineStr">
        <is>
          <t>August</t>
        </is>
      </c>
      <c r="J7" s="108" t="inlineStr">
        <is>
          <t>September</t>
        </is>
      </c>
      <c r="K7" s="108" t="inlineStr">
        <is>
          <t>October</t>
        </is>
      </c>
      <c r="L7" s="108" t="inlineStr">
        <is>
          <t>November</t>
        </is>
      </c>
      <c r="M7" s="108" t="inlineStr">
        <is>
          <t>December</t>
        </is>
      </c>
      <c r="N7" s="108" t="inlineStr">
        <is>
          <t>Annual Total</t>
        </is>
      </c>
      <c r="O7" s="109" t="n"/>
    </row>
    <row r="8" ht="22.15" customHeight="1" s="57">
      <c r="A8" s="110" t="inlineStr">
        <is>
          <t>Authorised Absence</t>
        </is>
      </c>
      <c r="B8" s="111">
        <f>IF($B$3="","",IFERROR(INDEX(Jan!$AJ$8:$AJ$107,MATCH($B$3,Jan!$A$8:$A$107,0)),0))</f>
        <v/>
      </c>
      <c r="C8" s="111">
        <f>IF($B$3="","",IFERROR(INDEX(Feb!$AJ$8:$AJ$107,MATCH($B$3,Feb!$A$8:$A$107,0)),0))</f>
        <v/>
      </c>
      <c r="D8" s="111">
        <f>IF($B$3="","",IFERROR(INDEX(Mar!$AJ$8:$AJ$107,MATCH($B$3,Mar!$A$8:$A$107,0)),0))</f>
        <v/>
      </c>
      <c r="E8" s="111">
        <f>IF($B$3="","",IFERROR(INDEX(Apr!$AJ$8:$AJ$107,MATCH($B$3,Apr!$A$8:$A$107,0)),0))</f>
        <v/>
      </c>
      <c r="F8" s="111">
        <f>IF($B$3="","",IFERROR(INDEX(May!$AJ$8:$AJ$107,MATCH($B$3,May!$A$8:$A$107,0)),0))</f>
        <v/>
      </c>
      <c r="G8" s="111">
        <f>IF($B$3="","",IFERROR(INDEX(Jun!$AJ$8:$AJ$107,MATCH($B$3,Jun!$A$8:$A$107,0)),0))</f>
        <v/>
      </c>
      <c r="H8" s="111">
        <f>IF($B$3="","",IFERROR(INDEX(Jul!$AJ$8:$AJ$107,MATCH($B$3,Jul!$A$8:$A$107,0)),0))</f>
        <v/>
      </c>
      <c r="I8" s="111">
        <f>IF($B$3="","",IFERROR(INDEX(Aug!$AJ$8:$AJ$107,MATCH($B$3,Aug!$A$8:$A$107,0)),0))</f>
        <v/>
      </c>
      <c r="J8" s="111">
        <f>IF($B$3="","",IFERROR(INDEX(Sep!$AJ$8:$AJ$107,MATCH($B$3,Sep!$A$8:$A$107,0)),0))</f>
        <v/>
      </c>
      <c r="K8" s="111">
        <f>IF($B$3="","",IFERROR(INDEX(Oct!$AJ$8:$AJ$107,MATCH($B$3,Oct!$A$8:$A$107,0)),0))</f>
        <v/>
      </c>
      <c r="L8" s="111">
        <f>IF($B$3="","",IFERROR(INDEX(Nov!$AJ$8:$AJ$107,MATCH($B$3,Nov!$A$8:$A$107,0)),0))</f>
        <v/>
      </c>
      <c r="M8" s="111">
        <f>IF($B$3="","",IFERROR(INDEX(Dec!$AJ$8:$AJ$107,MATCH($B$3,Dec!$A$8:$A$107,0)),0))</f>
        <v/>
      </c>
      <c r="N8" s="109" t="n"/>
      <c r="O8" s="112">
        <f>SUM(B8:M8)</f>
        <v/>
      </c>
    </row>
    <row r="9" ht="22.15" customHeight="1" s="57">
      <c r="A9" s="110" t="inlineStr">
        <is>
          <t>Unauthorised Absence</t>
        </is>
      </c>
      <c r="B9" s="111">
        <f>IF($B$3="","",IFERROR(INDEX(Jan!$AK$8:$AK$107,MATCH($B$3,Jan!$A$8:$A$107,0)),0))</f>
        <v/>
      </c>
      <c r="C9" s="111">
        <f>IF($B$3="","",IFERROR(INDEX(Feb!$AK$8:$AK$107,MATCH($B$3,Feb!$A$8:$A$107,0)),0))</f>
        <v/>
      </c>
      <c r="D9" s="111">
        <f>IF($B$3="","",IFERROR(INDEX(Mar!$AK$8:$AK$107,MATCH($B$3,Mar!$A$8:$A$107,0)),0))</f>
        <v/>
      </c>
      <c r="E9" s="111">
        <f>IF($B$3="","",IFERROR(INDEX(Apr!$AK$8:$AK$107,MATCH($B$3,Apr!$A$8:$A$107,0)),0))</f>
        <v/>
      </c>
      <c r="F9" s="111">
        <f>IF($B$3="","",IFERROR(INDEX(May!$AK$8:$AK$107,MATCH($B$3,May!$A$8:$A$107,0)),0))</f>
        <v/>
      </c>
      <c r="G9" s="111">
        <f>IF($B$3="","",IFERROR(INDEX(Jun!$AK$8:$AK$107,MATCH($B$3,Jun!$A$8:$A$107,0)),0))</f>
        <v/>
      </c>
      <c r="H9" s="111">
        <f>IF($B$3="","",IFERROR(INDEX(Jul!$AK$8:$AK$107,MATCH($B$3,Jul!$A$8:$A$107,0)),0))</f>
        <v/>
      </c>
      <c r="I9" s="111">
        <f>IF($B$3="","",IFERROR(INDEX(Aug!$AK$8:$AK$107,MATCH($B$3,Aug!$A$8:$A$107,0)),0))</f>
        <v/>
      </c>
      <c r="J9" s="111">
        <f>IF($B$3="","",IFERROR(INDEX(Sep!$AK$8:$AK$107,MATCH($B$3,Sep!$A$8:$A$107,0)),0))</f>
        <v/>
      </c>
      <c r="K9" s="111">
        <f>IF($B$3="","",IFERROR(INDEX(Oct!$AK$8:$AK$107,MATCH($B$3,Oct!$A$8:$A$107,0)),0))</f>
        <v/>
      </c>
      <c r="L9" s="111">
        <f>IF($B$3="","",IFERROR(INDEX(Nov!$AK$8:$AK$107,MATCH($B$3,Nov!$A$8:$A$107,0)),0))</f>
        <v/>
      </c>
      <c r="M9" s="111">
        <f>IF($B$3="","",IFERROR(INDEX(Dec!$AK$8:$AK$107,MATCH($B$3,Dec!$A$8:$A$107,0)),0))</f>
        <v/>
      </c>
      <c r="N9" s="109" t="n"/>
      <c r="O9" s="112">
        <f>SUM(B9:M9)</f>
        <v/>
      </c>
    </row>
    <row r="10" ht="22.15" customHeight="1" s="57">
      <c r="A10" s="110" t="inlineStr">
        <is>
          <t>Sickness Absence</t>
        </is>
      </c>
      <c r="B10" s="111">
        <f>IF($B$3="","",IFERROR(INDEX(Jan!$AL$8:$AL$107,MATCH($B$3,Jan!$A$8:$A$107,0)),0))</f>
        <v/>
      </c>
      <c r="C10" s="111">
        <f>IF($B$3="","",IFERROR(INDEX(Feb!$AL$8:$AL$107,MATCH($B$3,Feb!$A$8:$A$107,0)),0))</f>
        <v/>
      </c>
      <c r="D10" s="111">
        <f>IF($B$3="","",IFERROR(INDEX(Mar!$AL$8:$AL$107,MATCH($B$3,Mar!$A$8:$A$107,0)),0))</f>
        <v/>
      </c>
      <c r="E10" s="111">
        <f>IF($B$3="","",IFERROR(INDEX(Apr!$AL$8:$AL$107,MATCH($B$3,Apr!$A$8:$A$107,0)),0))</f>
        <v/>
      </c>
      <c r="F10" s="111">
        <f>IF($B$3="","",IFERROR(INDEX(May!$AL$8:$AL$107,MATCH($B$3,May!$A$8:$A$107,0)),0))</f>
        <v/>
      </c>
      <c r="G10" s="111">
        <f>IF($B$3="","",IFERROR(INDEX(Jun!$AL$8:$AL$107,MATCH($B$3,Jun!$A$8:$A$107,0)),0))</f>
        <v/>
      </c>
      <c r="H10" s="111">
        <f>IF($B$3="","",IFERROR(INDEX(Jul!$AL$8:$AL$107,MATCH($B$3,Jul!$A$8:$A$107,0)),0))</f>
        <v/>
      </c>
      <c r="I10" s="111">
        <f>IF($B$3="","",IFERROR(INDEX(Aug!$AL$8:$AL$107,MATCH($B$3,Aug!$A$8:$A$107,0)),0))</f>
        <v/>
      </c>
      <c r="J10" s="111">
        <f>IF($B$3="","",IFERROR(INDEX(Sep!$AL$8:$AL$107,MATCH($B$3,Sep!$A$8:$A$107,0)),0))</f>
        <v/>
      </c>
      <c r="K10" s="111">
        <f>IF($B$3="","",IFERROR(INDEX(Oct!$AL$8:$AL$107,MATCH($B$3,Oct!$A$8:$A$107,0)),0))</f>
        <v/>
      </c>
      <c r="L10" s="111">
        <f>IF($B$3="","",IFERROR(INDEX(Nov!$AL$8:$AL$107,MATCH($B$3,Nov!$A$8:$A$107,0)),0))</f>
        <v/>
      </c>
      <c r="M10" s="111">
        <f>IF($B$3="","",IFERROR(INDEX(Dec!$AL$8:$AL$107,MATCH($B$3,Dec!$A$8:$A$107,0)),0))</f>
        <v/>
      </c>
      <c r="N10" s="109" t="n"/>
      <c r="O10" s="112">
        <f>SUM(B10:M10)</f>
        <v/>
      </c>
    </row>
    <row r="11" ht="22.15" customHeight="1" s="57">
      <c r="A11" s="110" t="inlineStr">
        <is>
          <t>Emergency Absence</t>
        </is>
      </c>
      <c r="B11" s="111">
        <f>IF($B$3="","",IFERROR(INDEX(Jan!$AM$8:$AM$107,MATCH($B$3,Jan!$A$8:$A$107,0)),0))</f>
        <v/>
      </c>
      <c r="C11" s="111">
        <f>IF($B$3="","",IFERROR(INDEX(Feb!$AM$8:$AM$107,MATCH($B$3,Feb!$A$8:$A$107,0)),0))</f>
        <v/>
      </c>
      <c r="D11" s="111">
        <f>IF($B$3="","",IFERROR(INDEX(Mar!$AM$8:$AM$107,MATCH($B$3,Mar!$A$8:$A$107,0)),0))</f>
        <v/>
      </c>
      <c r="E11" s="111">
        <f>IF($B$3="","",IFERROR(INDEX(Apr!$AM$8:$AM$107,MATCH($B$3,Apr!$A$8:$A$107,0)),0))</f>
        <v/>
      </c>
      <c r="F11" s="111">
        <f>IF($B$3="","",IFERROR(INDEX(May!$AM$8:$AM$107,MATCH($B$3,May!$A$8:$A$107,0)),0))</f>
        <v/>
      </c>
      <c r="G11" s="111">
        <f>IF($B$3="","",IFERROR(INDEX(Jun!$AM$8:$AM$107,MATCH($B$3,Jun!$A$8:$A$107,0)),0))</f>
        <v/>
      </c>
      <c r="H11" s="111">
        <f>IF($B$3="","",IFERROR(INDEX(Jul!$AM$8:$AM$107,MATCH($B$3,Jul!$A$8:$A$107,0)),0))</f>
        <v/>
      </c>
      <c r="I11" s="111">
        <f>IF($B$3="","",IFERROR(INDEX(Aug!$AM$8:$AM$107,MATCH($B$3,Aug!$A$8:$A$107,0)),0))</f>
        <v/>
      </c>
      <c r="J11" s="111">
        <f>IF($B$3="","",IFERROR(INDEX(Sep!$AM$8:$AM$107,MATCH($B$3,Sep!$A$8:$A$107,0)),0))</f>
        <v/>
      </c>
      <c r="K11" s="111">
        <f>IF($B$3="","",IFERROR(INDEX(Oct!$AM$8:$AM$107,MATCH($B$3,Oct!$A$8:$A$107,0)),0))</f>
        <v/>
      </c>
      <c r="L11" s="111">
        <f>IF($B$3="","",IFERROR(INDEX(Nov!$AM$8:$AM$107,MATCH($B$3,Nov!$A$8:$A$107,0)),0))</f>
        <v/>
      </c>
      <c r="M11" s="111">
        <f>IF($B$3="","",IFERROR(INDEX(Dec!$AM$8:$AM$107,MATCH($B$3,Dec!$A$8:$A$107,0)),0))</f>
        <v/>
      </c>
      <c r="N11" s="109" t="n"/>
      <c r="O11" s="112">
        <f>SUM(B11:M11)</f>
        <v/>
      </c>
    </row>
    <row r="12" ht="22.15" customHeight="1" s="57">
      <c r="A12" s="110" t="inlineStr">
        <is>
          <t>Other Reason</t>
        </is>
      </c>
      <c r="B12" s="111">
        <f>IF($B$3="","",IFERROR(INDEX(Jan!$AN$8:$AN$107,MATCH($B$3,Jan!$A$8:$A$107,0)),0))</f>
        <v/>
      </c>
      <c r="C12" s="111">
        <f>IF($B$3="","",IFERROR(INDEX(Feb!$AN$8:$AN$107,MATCH($B$3,Feb!$A$8:$A$107,0)),0))</f>
        <v/>
      </c>
      <c r="D12" s="111">
        <f>IF($B$3="","",IFERROR(INDEX(Mar!$AN$8:$AN$107,MATCH($B$3,Mar!$A$8:$A$107,0)),0))</f>
        <v/>
      </c>
      <c r="E12" s="111">
        <f>IF($B$3="","",IFERROR(INDEX(Apr!$AN$8:$AN$107,MATCH($B$3,Apr!$A$8:$A$107,0)),0))</f>
        <v/>
      </c>
      <c r="F12" s="111">
        <f>IF($B$3="","",IFERROR(INDEX(May!$AN$8:$AN$107,MATCH($B$3,May!$A$8:$A$107,0)),0))</f>
        <v/>
      </c>
      <c r="G12" s="111">
        <f>IF($B$3="","",IFERROR(INDEX(Jun!$AN$8:$AN$107,MATCH($B$3,Jun!$A$8:$A$107,0)),0))</f>
        <v/>
      </c>
      <c r="H12" s="111">
        <f>IF($B$3="","",IFERROR(INDEX(Jul!$AN$8:$AN$107,MATCH($B$3,Jul!$A$8:$A$107,0)),0))</f>
        <v/>
      </c>
      <c r="I12" s="111">
        <f>IF($B$3="","",IFERROR(INDEX(Aug!$AN$8:$AN$107,MATCH($B$3,Aug!$A$8:$A$107,0)),0))</f>
        <v/>
      </c>
      <c r="J12" s="111">
        <f>IF($B$3="","",IFERROR(INDEX(Sep!$AN$8:$AN$107,MATCH($B$3,Sep!$A$8:$A$107,0)),0))</f>
        <v/>
      </c>
      <c r="K12" s="111">
        <f>IF($B$3="","",IFERROR(INDEX(Oct!$AN$8:$AN$107,MATCH($B$3,Oct!$A$8:$A$107,0)),0))</f>
        <v/>
      </c>
      <c r="L12" s="111">
        <f>IF($B$3="","",IFERROR(INDEX(Nov!$AN$8:$AN$107,MATCH($B$3,Nov!$A$8:$A$107,0)),0))</f>
        <v/>
      </c>
      <c r="M12" s="111">
        <f>IF($B$3="","",IFERROR(INDEX(Dec!$AN$8:$AN$107,MATCH($B$3,Dec!$A$8:$A$107,0)),0))</f>
        <v/>
      </c>
      <c r="N12" s="109" t="n"/>
      <c r="O12" s="112">
        <f>SUM(B12:M12)</f>
        <v/>
      </c>
    </row>
    <row r="13" ht="22.15" customHeight="1" s="57">
      <c r="A13" s="110" t="inlineStr">
        <is>
          <t>Weekend Off</t>
        </is>
      </c>
      <c r="B13" s="111">
        <f>IF($B$3="","",IFERROR(INDEX(Jan!$AO$8:$AO$107,MATCH($B$3,Jan!$A$8:$A$107,0)),0))</f>
        <v/>
      </c>
      <c r="C13" s="111">
        <f>IF($B$3="","",IFERROR(INDEX(Feb!$AO$8:$AO$107,MATCH($B$3,Feb!$A$8:$A$107,0)),0))</f>
        <v/>
      </c>
      <c r="D13" s="111">
        <f>IF($B$3="","",IFERROR(INDEX(Mar!$AO$8:$AO$107,MATCH($B$3,Mar!$A$8:$A$107,0)),0))</f>
        <v/>
      </c>
      <c r="E13" s="111">
        <f>IF($B$3="","",IFERROR(INDEX(Apr!$AO$8:$AO$107,MATCH($B$3,Apr!$A$8:$A$107,0)),0))</f>
        <v/>
      </c>
      <c r="F13" s="111">
        <f>IF($B$3="","",IFERROR(INDEX(May!$AO$8:$AO$107,MATCH($B$3,May!$A$8:$A$107,0)),0))</f>
        <v/>
      </c>
      <c r="G13" s="111">
        <f>IF($B$3="","",IFERROR(INDEX(Jun!$AO$8:$AO$107,MATCH($B$3,Jun!$A$8:$A$107,0)),0))</f>
        <v/>
      </c>
      <c r="H13" s="111">
        <f>IF($B$3="","",IFERROR(INDEX(Jul!$AO$8:$AO$107,MATCH($B$3,Jul!$A$8:$A$107,0)),0))</f>
        <v/>
      </c>
      <c r="I13" s="111">
        <f>IF($B$3="","",IFERROR(INDEX(Aug!$AO$8:$AO$107,MATCH($B$3,Aug!$A$8:$A$107,0)),0))</f>
        <v/>
      </c>
      <c r="J13" s="111">
        <f>IF($B$3="","",IFERROR(INDEX(Sep!$AO$8:$AO$107,MATCH($B$3,Sep!$A$8:$A$107,0)),0))</f>
        <v/>
      </c>
      <c r="K13" s="111">
        <f>IF($B$3="","",IFERROR(INDEX(Oct!$AO$8:$AO$107,MATCH($B$3,Oct!$A$8:$A$107,0)),0))</f>
        <v/>
      </c>
      <c r="L13" s="111">
        <f>IF($B$3="","",IFERROR(INDEX(Nov!$AO$8:$AO$107,MATCH($B$3,Nov!$A$8:$A$107,0)),0))</f>
        <v/>
      </c>
      <c r="M13" s="111">
        <f>IF($B$3="","",IFERROR(INDEX(Dec!$AO$8:$AO$107,MATCH($B$3,Dec!$A$8:$A$107,0)),0))</f>
        <v/>
      </c>
      <c r="N13" s="109" t="n"/>
      <c r="O13" s="112">
        <f>SUM(B13:M13)</f>
        <v/>
      </c>
    </row>
    <row r="14" ht="22.15" customHeight="1" s="57">
      <c r="A14" s="110" t="inlineStr">
        <is>
          <t>Holiday</t>
        </is>
      </c>
      <c r="B14" s="111">
        <f>IF($B$3="","",IFERROR(INDEX(Jan!$AP$8:$AP$107,MATCH($B$3,Jan!$A$8:$A$107,0)),0))</f>
        <v/>
      </c>
      <c r="C14" s="111">
        <f>IF($B$3="","",IFERROR(INDEX(Feb!$AP$8:$AP$107,MATCH($B$3,Feb!$A$8:$A$107,0)),0))</f>
        <v/>
      </c>
      <c r="D14" s="111">
        <f>IF($B$3="","",IFERROR(INDEX(Mar!$AP$8:$AP$107,MATCH($B$3,Mar!$A$8:$A$107,0)),0))</f>
        <v/>
      </c>
      <c r="E14" s="111">
        <f>IF($B$3="","",IFERROR(INDEX(Apr!$AP$8:$AP$107,MATCH($B$3,Apr!$A$8:$A$107,0)),0))</f>
        <v/>
      </c>
      <c r="F14" s="111">
        <f>IF($B$3="","",IFERROR(INDEX(May!$AP$8:$AP$107,MATCH($B$3,May!$A$8:$A$107,0)),0))</f>
        <v/>
      </c>
      <c r="G14" s="111">
        <f>IF($B$3="","",IFERROR(INDEX(Jun!$AP$8:$AP$107,MATCH($B$3,Jun!$A$8:$A$107,0)),0))</f>
        <v/>
      </c>
      <c r="H14" s="111">
        <f>IF($B$3="","",IFERROR(INDEX(Jul!$AP$8:$AP$107,MATCH($B$3,Jul!$A$8:$A$107,0)),0))</f>
        <v/>
      </c>
      <c r="I14" s="111">
        <f>IF($B$3="","",IFERROR(INDEX(Aug!$AP$8:$AP$107,MATCH($B$3,Aug!$A$8:$A$107,0)),0))</f>
        <v/>
      </c>
      <c r="J14" s="111">
        <f>IF($B$3="","",IFERROR(INDEX(Sep!$AP$8:$AP$107,MATCH($B$3,Sep!$A$8:$A$107,0)),0))</f>
        <v/>
      </c>
      <c r="K14" s="111">
        <f>IF($B$3="","",IFERROR(INDEX(Oct!$AP$8:$AP$107,MATCH($B$3,Oct!$A$8:$A$107,0)),0))</f>
        <v/>
      </c>
      <c r="L14" s="111">
        <f>IF($B$3="","",IFERROR(INDEX(Nov!$AP$8:$AP$107,MATCH($B$3,Nov!$A$8:$A$107,0)),0))</f>
        <v/>
      </c>
      <c r="M14" s="111">
        <f>IF($B$3="","",IFERROR(INDEX(Dec!$AP$8:$AP$107,MATCH($B$3,Dec!$A$8:$A$107,0)),0))</f>
        <v/>
      </c>
      <c r="N14" s="109" t="n"/>
      <c r="O14" s="112">
        <f>SUM(B14:M14)</f>
        <v/>
      </c>
    </row>
    <row r="15" ht="22.15" customHeight="1" s="57">
      <c r="A15" s="105" t="inlineStr">
        <is>
          <t>Total Absence Days</t>
        </is>
      </c>
      <c r="B15" s="113">
        <f>SUM(B8:B14)</f>
        <v/>
      </c>
      <c r="C15" s="113">
        <f>SUM(C8:C14)</f>
        <v/>
      </c>
      <c r="D15" s="113">
        <f>SUM(D8:D14)</f>
        <v/>
      </c>
      <c r="E15" s="113">
        <f>SUM(E8:E14)</f>
        <v/>
      </c>
      <c r="F15" s="113">
        <f>SUM(F8:F14)</f>
        <v/>
      </c>
      <c r="G15" s="113">
        <f>SUM(G8:G14)</f>
        <v/>
      </c>
      <c r="H15" s="113">
        <f>SUM(H8:H14)</f>
        <v/>
      </c>
      <c r="I15" s="113">
        <f>SUM(I8:I14)</f>
        <v/>
      </c>
      <c r="J15" s="113">
        <f>SUM(J8:J14)</f>
        <v/>
      </c>
      <c r="K15" s="113">
        <f>SUM(K8:K14)</f>
        <v/>
      </c>
      <c r="L15" s="113">
        <f>SUM(L8:L14)</f>
        <v/>
      </c>
      <c r="M15" s="113">
        <f>SUM(M8:M14)</f>
        <v/>
      </c>
      <c r="N15" s="113">
        <f>SUM(N8:N14)</f>
        <v/>
      </c>
      <c r="O15" s="113">
        <f>SUM(O8:O14)</f>
        <v/>
      </c>
    </row>
    <row r="17" ht="14.45" customHeight="1" s="57">
      <c r="A17" s="114" t="inlineStr">
        <is>
          <t>Quick audit use: select an Employee ID in B3 to view every monthly absence category and annual totals for that staff member.</t>
        </is>
      </c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6" t="n"/>
    </row>
    <row r="20" ht="21" customHeight="1" s="57">
      <c r="A20" s="117" t="inlineStr">
        <is>
          <t>Audit Metrics</t>
        </is>
      </c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  <c r="O20" s="118" t="n"/>
    </row>
    <row r="21" ht="20.45" customHeight="1" s="57">
      <c r="A21" s="119" t="inlineStr">
        <is>
          <t>Selected Staff Recorded Months</t>
        </is>
      </c>
      <c r="B21" s="120">
        <f>COUNTIF(B15:M15,"&gt;0")</f>
        <v/>
      </c>
    </row>
    <row r="22" ht="21" customHeight="1" s="57">
      <c r="A22" s="119" t="inlineStr">
        <is>
          <t>Highest Single Absence Month</t>
        </is>
      </c>
      <c r="B22" s="120">
        <f>IF($B$3="","",MAX(B15:M15))</f>
        <v/>
      </c>
    </row>
    <row r="23" ht="24" customHeight="1" s="57">
      <c r="A23" s="119" t="inlineStr">
        <is>
          <t>Average Monthly Absence</t>
        </is>
      </c>
      <c r="B23" s="120">
        <f>IF($B$3="","",AVERAGE(B15:M15))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NfbSgslX9EKy16JA6YpqQ==" formatRows="1" sort="1" spinCount="100000" hashValue="qjCix+bjNJqTmgLmjXUwzpU2F2BWxE0bTgtrJyxb+Ccy249mBuR/VjCzBrJrEbQ5anevYxTz8Vg2oCJp6DWiow=="/>
  <mergeCells count="2">
    <mergeCell ref="A1:O1"/>
    <mergeCell ref="A17:O17"/>
  </mergeCells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2026-04-11T17:06:53Z</dcterms:created>
  <dcterms:modified xsi:type="dcterms:W3CDTF">2026-04-22T14:14:21Z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